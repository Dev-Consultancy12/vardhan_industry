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8_{520D0028-8CD4-804E-999D-3BEE0EA81299}" xr6:coauthVersionLast="47" xr6:coauthVersionMax="47" xr10:uidLastSave="{00000000-0000-0000-0000-000000000000}"/>
  <bookViews>
    <workbookView xWindow="1580" yWindow="2000" windowWidth="26840" windowHeight="14600" xr2:uid="{6F2B8995-0977-1E45-951C-2F5CFEAEC882}"/>
  </bookViews>
  <sheets>
    <sheet name="12 June 26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2" l="1"/>
  <c r="H30" i="2"/>
  <c r="F30" i="2"/>
  <c r="I29" i="2"/>
  <c r="K29" i="2" s="1"/>
  <c r="K30" i="2" s="1"/>
  <c r="H21" i="2"/>
  <c r="F21" i="2"/>
  <c r="I20" i="2"/>
  <c r="K20" i="2" s="1"/>
  <c r="I19" i="2"/>
  <c r="K19" i="2" s="1"/>
  <c r="I18" i="2"/>
  <c r="K18" i="2" s="1"/>
  <c r="I17" i="2"/>
  <c r="K17" i="2" s="1"/>
  <c r="I16" i="2"/>
  <c r="K16" i="2" s="1"/>
  <c r="I15" i="2"/>
  <c r="K15" i="2" s="1"/>
  <c r="I14" i="2"/>
  <c r="K14" i="2" s="1"/>
  <c r="I13" i="2"/>
  <c r="K13" i="2" s="1"/>
  <c r="I12" i="2"/>
  <c r="K12" i="2" s="1"/>
  <c r="I11" i="2"/>
  <c r="K11" i="2" s="1"/>
  <c r="I10" i="2"/>
  <c r="K10" i="2" s="1"/>
  <c r="I9" i="2"/>
  <c r="K9" i="2" s="1"/>
  <c r="I8" i="2"/>
  <c r="K8" i="2" s="1"/>
  <c r="I7" i="2"/>
  <c r="K7" i="2" s="1"/>
  <c r="K21" i="2" l="1"/>
  <c r="K31" i="2"/>
  <c r="K32" i="2" s="1"/>
  <c r="I21" i="2"/>
  <c r="K22" i="2" l="1"/>
  <c r="K23" i="2" s="1"/>
</calcChain>
</file>

<file path=xl/sharedStrings.xml><?xml version="1.0" encoding="utf-8"?>
<sst xmlns="http://schemas.openxmlformats.org/spreadsheetml/2006/main" count="82" uniqueCount="58">
  <si>
    <t>PACKING DETAILS</t>
  </si>
  <si>
    <t>VENDOR CODE-20300788</t>
  </si>
  <si>
    <t>PO No: POP2202605080012  Dt: 08-05-2026</t>
  </si>
  <si>
    <t>INVOICE NO------</t>
  </si>
  <si>
    <t>54</t>
  </si>
  <si>
    <t>Dt: 12-06-2026</t>
  </si>
  <si>
    <t>SN</t>
  </si>
  <si>
    <t>ITEM CODE</t>
  </si>
  <si>
    <t>COLOUR</t>
  </si>
  <si>
    <t>ORDER</t>
  </si>
  <si>
    <t>AMOUNT</t>
  </si>
  <si>
    <t>3220-00020-37</t>
  </si>
  <si>
    <t>AVSS 0.5F</t>
  </si>
  <si>
    <t>BROWN</t>
  </si>
  <si>
    <t>5*500, 1*445</t>
  </si>
  <si>
    <t>3220-00019-16</t>
  </si>
  <si>
    <t>AV 0.5F</t>
  </si>
  <si>
    <t>7*500, 1*475</t>
  </si>
  <si>
    <t>3220-00020-40</t>
  </si>
  <si>
    <t>BLACK/LIGHT-GREEN</t>
  </si>
  <si>
    <t>19*500, 1*525, 1*520</t>
  </si>
  <si>
    <t>3220-00020-34</t>
  </si>
  <si>
    <t>BLACK</t>
  </si>
  <si>
    <t>54*500, 1*615, 1*600, 1*565, 1*540, 1*245</t>
  </si>
  <si>
    <t>3220-00020-32</t>
  </si>
  <si>
    <t>GREEN/YELLOW</t>
  </si>
  <si>
    <t>38*500, 1*630, 1*565, 1*560, 1*495, 1*480, 1*470</t>
  </si>
  <si>
    <t>3207-01330-08</t>
  </si>
  <si>
    <t>AVX 0.5F</t>
  </si>
  <si>
    <t>BLACK/BLUE</t>
  </si>
  <si>
    <t>27*500, 1*585, 1*550, 1*525</t>
  </si>
  <si>
    <t>3207-01330-10</t>
  </si>
  <si>
    <t>PINK</t>
  </si>
  <si>
    <t>36*500, 1*555, 1*515, 1*510, 1*470</t>
  </si>
  <si>
    <t>3207-01330-11</t>
  </si>
  <si>
    <t>LIGHT-GREEN/RED</t>
  </si>
  <si>
    <t>39*500, 1*615, 1*520, 1*510, 2*495</t>
  </si>
  <si>
    <t>3207-01330-12</t>
  </si>
  <si>
    <t>BLUE/RED</t>
  </si>
  <si>
    <t>39*500, 1*640, 1*595, 1*545, 1*530, 1*460</t>
  </si>
  <si>
    <t>3207-01330-06</t>
  </si>
  <si>
    <t>BLUE</t>
  </si>
  <si>
    <t>4*500, 1*435</t>
  </si>
  <si>
    <t>3207-01330-14</t>
  </si>
  <si>
    <t>BLACK/RED</t>
  </si>
  <si>
    <t>12*500, 1*560, 1*530</t>
  </si>
  <si>
    <t>3207-01330-15</t>
  </si>
  <si>
    <t>GRAY/BLACK</t>
  </si>
  <si>
    <t>14*500, 1*550, 1*470</t>
  </si>
  <si>
    <t>3220-00020-45</t>
  </si>
  <si>
    <t>YELLOW/RED</t>
  </si>
  <si>
    <t>15*500, 1*575, 1*220</t>
  </si>
  <si>
    <t>3220-00020-33</t>
  </si>
  <si>
    <t>YELLOW</t>
  </si>
  <si>
    <t>40*500, 1*580, 1*570, 1*535, 1*375</t>
  </si>
  <si>
    <t>PO No: POP2202605130006  Dt: 13-05-2026</t>
  </si>
  <si>
    <t>55</t>
  </si>
  <si>
    <t>9*500, 1*620, 1*600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</si>
</sst>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,###,###,###,##0"/>
    <numFmt numFmtId="165" formatCode="[$-409]d\-mmm\-yy;@"/>
    <numFmt numFmtId="166" formatCode="###,###,###,###,##0.00"/>
  </numFmts>
  <fonts count="12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  <font>
      <b/>
      <sz val="12"/>
      <color theme="1"/>
      <name val="Segoe UI"/>
      <family val="2"/>
    </font>
    <font>
      <b/>
      <sz val="14"/>
      <color theme="1"/>
      <name val="Segoe UI"/>
      <family val="2"/>
    </font>
    <font>
      <b/>
      <sz val="11"/>
      <color theme="1"/>
      <name val="Segoe UI"/>
      <family val="2"/>
    </font>
    <font>
      <b/>
      <sz val="11"/>
      <name val="Segoe UI"/>
      <family val="2"/>
    </font>
    <font>
      <b/>
      <sz val="9"/>
      <name val="Segoe UI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1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/>
    <xf numFmtId="0" fontId="3" fillId="0" borderId="1" xfId="1" applyFont="1" applyBorder="1" applyAlignment="1">
      <alignment horizontal="left"/>
    </xf>
    <xf numFmtId="0" fontId="3" fillId="0" borderId="1" xfId="1" applyFont="1" applyBorder="1" applyAlignment="1">
      <alignment horizontal="center"/>
    </xf>
    <xf numFmtId="0" fontId="3" fillId="0" borderId="1" xfId="1" applyFont="1" applyBorder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3" fillId="0" borderId="0" xfId="1" applyFont="1"/>
    <xf numFmtId="0" fontId="1" fillId="0" borderId="0" xfId="1"/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  <xf numFmtId="0" fontId="4" fillId="0" borderId="0" xfId="1" applyFont="1"/>
    <xf numFmtId="0" fontId="5" fillId="0" borderId="0" xfId="1" applyFont="1"/>
    <xf numFmtId="0" fontId="2" fillId="0" borderId="2" xfId="1" applyFont="1" applyBorder="1"/>
    <xf numFmtId="0" fontId="6" fillId="0" borderId="2" xfId="1" applyFont="1" applyBorder="1" applyAlignment="1">
      <alignment horizontal="left"/>
    </xf>
    <xf numFmtId="49" fontId="7" fillId="0" borderId="3" xfId="1" applyNumberFormat="1" applyFont="1" applyBorder="1" applyAlignment="1">
      <alignment horizontal="center"/>
    </xf>
    <xf numFmtId="165" fontId="6" fillId="0" borderId="4" xfId="1" applyNumberFormat="1" applyFont="1" applyBorder="1" applyAlignment="1">
      <alignment horizontal="center"/>
    </xf>
    <xf numFmtId="16" fontId="2" fillId="0" borderId="5" xfId="1" applyNumberFormat="1" applyFont="1" applyBorder="1" applyAlignment="1">
      <alignment horizontal="center"/>
    </xf>
    <xf numFmtId="0" fontId="4" fillId="0" borderId="5" xfId="1" applyFont="1" applyBorder="1"/>
    <xf numFmtId="0" fontId="2" fillId="0" borderId="5" xfId="1" applyFont="1" applyBorder="1"/>
    <xf numFmtId="0" fontId="3" fillId="0" borderId="5" xfId="1" applyFont="1" applyBorder="1" applyAlignment="1">
      <alignment horizontal="center"/>
    </xf>
    <xf numFmtId="0" fontId="2" fillId="0" borderId="4" xfId="1" applyFont="1" applyBorder="1"/>
    <xf numFmtId="0" fontId="3" fillId="0" borderId="6" xfId="1" applyFont="1" applyBorder="1" applyAlignment="1">
      <alignment horizontal="center"/>
    </xf>
    <xf numFmtId="0" fontId="3" fillId="0" borderId="7" xfId="1" applyFont="1" applyBorder="1" applyAlignment="1">
      <alignment horizontal="left"/>
    </xf>
    <xf numFmtId="0" fontId="4" fillId="0" borderId="8" xfId="1" applyFont="1" applyBorder="1" applyAlignment="1">
      <alignment horizontal="center" vertical="center"/>
    </xf>
    <xf numFmtId="0" fontId="4" fillId="0" borderId="7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3" fillId="0" borderId="9" xfId="1" applyFont="1" applyBorder="1" applyAlignment="1">
      <alignment horizontal="center"/>
    </xf>
    <xf numFmtId="0" fontId="3" fillId="0" borderId="10" xfId="1" applyFont="1" applyBorder="1" applyAlignment="1">
      <alignment horizontal="center"/>
    </xf>
    <xf numFmtId="0" fontId="3" fillId="0" borderId="11" xfId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9" fillId="0" borderId="1" xfId="1" applyFont="1" applyBorder="1" applyAlignment="1">
      <alignment horizontal="center" vertical="center"/>
    </xf>
    <xf numFmtId="0" fontId="10" fillId="0" borderId="12" xfId="1" applyFont="1" applyBorder="1" applyAlignment="1">
      <alignment horizontal="center" vertical="center"/>
    </xf>
    <xf numFmtId="0" fontId="9" fillId="0" borderId="1" xfId="1" applyFont="1" applyBorder="1" applyAlignment="1">
      <alignment vertical="center"/>
    </xf>
    <xf numFmtId="164" fontId="9" fillId="0" borderId="1" xfId="1" applyNumberFormat="1" applyFont="1" applyBorder="1" applyAlignment="1">
      <alignment horizontal="center" vertical="center"/>
    </xf>
    <xf numFmtId="0" fontId="8" fillId="0" borderId="1" xfId="1" applyFont="1" applyBorder="1" applyAlignment="1">
      <alignment horizontal="center" wrapText="1"/>
    </xf>
    <xf numFmtId="164" fontId="9" fillId="0" borderId="1" xfId="1" applyNumberFormat="1" applyFont="1" applyBorder="1" applyAlignment="1">
      <alignment horizontal="center"/>
    </xf>
    <xf numFmtId="0" fontId="8" fillId="0" borderId="1" xfId="1" applyFont="1" applyBorder="1" applyAlignment="1">
      <alignment horizontal="center" vertical="center"/>
    </xf>
    <xf numFmtId="2" fontId="8" fillId="0" borderId="1" xfId="1" applyNumberFormat="1" applyFont="1" applyBorder="1" applyAlignment="1">
      <alignment horizontal="center" vertical="center"/>
    </xf>
    <xf numFmtId="2" fontId="8" fillId="0" borderId="13" xfId="1" applyNumberFormat="1" applyFont="1" applyBorder="1" applyAlignment="1">
      <alignment horizontal="center" vertical="center"/>
    </xf>
    <xf numFmtId="164" fontId="1" fillId="0" borderId="0" xfId="1" applyNumberFormat="1"/>
    <xf numFmtId="0" fontId="9" fillId="0" borderId="1" xfId="1" applyFont="1" applyBorder="1" applyAlignment="1">
      <alignment horizontal="center" wrapText="1"/>
    </xf>
    <xf numFmtId="0" fontId="11" fillId="0" borderId="14" xfId="1" applyFont="1" applyBorder="1"/>
    <xf numFmtId="0" fontId="9" fillId="0" borderId="15" xfId="1" applyFont="1" applyBorder="1" applyAlignment="1">
      <alignment horizontal="left"/>
    </xf>
    <xf numFmtId="0" fontId="9" fillId="0" borderId="15" xfId="1" applyFont="1" applyBorder="1" applyAlignment="1">
      <alignment horizontal="center"/>
    </xf>
    <xf numFmtId="0" fontId="9" fillId="0" borderId="16" xfId="1" applyFont="1" applyBorder="1"/>
    <xf numFmtId="164" fontId="8" fillId="0" borderId="10" xfId="1" applyNumberFormat="1" applyFont="1" applyBorder="1" applyAlignment="1">
      <alignment horizontal="center"/>
    </xf>
    <xf numFmtId="0" fontId="11" fillId="0" borderId="10" xfId="1" applyFont="1" applyBorder="1"/>
    <xf numFmtId="166" fontId="8" fillId="0" borderId="10" xfId="1" applyNumberFormat="1" applyFont="1" applyBorder="1" applyAlignment="1">
      <alignment horizontal="center"/>
    </xf>
    <xf numFmtId="0" fontId="8" fillId="0" borderId="0" xfId="1" applyFont="1" applyAlignment="1">
      <alignment horizontal="center"/>
    </xf>
    <xf numFmtId="0" fontId="9" fillId="0" borderId="0" xfId="1" applyFont="1" applyAlignment="1">
      <alignment horizontal="left" vertical="center"/>
    </xf>
    <xf numFmtId="0" fontId="9" fillId="0" borderId="0" xfId="1" applyFont="1" applyAlignment="1">
      <alignment horizontal="center" vertical="center"/>
    </xf>
    <xf numFmtId="164" fontId="9" fillId="0" borderId="0" xfId="1" applyNumberFormat="1" applyFont="1" applyAlignment="1">
      <alignment horizontal="center" vertical="center"/>
    </xf>
    <xf numFmtId="0" fontId="11" fillId="0" borderId="0" xfId="1" applyFont="1"/>
    <xf numFmtId="164" fontId="8" fillId="0" borderId="0" xfId="1" applyNumberFormat="1" applyFont="1" applyAlignment="1">
      <alignment horizontal="center"/>
    </xf>
    <xf numFmtId="9" fontId="8" fillId="0" borderId="0" xfId="1" applyNumberFormat="1" applyFont="1" applyAlignment="1">
      <alignment horizontal="center"/>
    </xf>
    <xf numFmtId="2" fontId="11" fillId="0" borderId="17" xfId="1" applyNumberFormat="1" applyFont="1" applyBorder="1" applyAlignment="1">
      <alignment horizontal="center"/>
    </xf>
    <xf numFmtId="2" fontId="8" fillId="0" borderId="6" xfId="1" applyNumberFormat="1" applyFont="1" applyBorder="1" applyAlignment="1">
      <alignment horizontal="center"/>
    </xf>
  </cellXfs>
  <cellStyles count="2">
    <cellStyle name="Normal" xfId="0" builtinId="0"/>
    <cellStyle name="Normal 2 3" xfId="1" xr:uid="{68F97CA9-45FE-9344-8FAB-41A87D995158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11954-7F14-B547-8FF2-872F90E0FC59}">
  <dimension ref="B3:M32"/>
  <sheetViews>
    <sheetView tabSelected="1" zoomScale="133" zoomScaleNormal="70" workbookViewId="0">
      <selection activeCell="D11" sqref="D11"/>
    </sheetView>
  </sheetViews>
  <sheetFormatPr baseColWidth="10" defaultColWidth="8.83203125" defaultRowHeight="15" x14ac:dyDescent="0.2"/>
  <cols>
    <col min="1" max="1" width="8.83203125" style="9"/>
    <col min="2" max="2" width="3.33203125" style="9" bestFit="1" customWidth="1"/>
    <col min="3" max="3" width="17.1640625" style="9" customWidth="1"/>
    <col min="4" max="4" width="12" style="9" customWidth="1"/>
    <col min="5" max="5" width="22" style="9" bestFit="1" customWidth="1"/>
    <col min="6" max="6" width="9.33203125" style="9" customWidth="1"/>
    <col min="7" max="7" width="23.33203125" style="9" customWidth="1"/>
    <col min="8" max="8" width="7.1640625" style="9" bestFit="1" customWidth="1"/>
    <col min="9" max="9" width="8.6640625" style="9" bestFit="1" customWidth="1"/>
    <col min="10" max="10" width="6.33203125" style="9" customWidth="1"/>
    <col min="11" max="11" width="13.6640625" style="9" customWidth="1"/>
    <col min="12" max="16384" width="8.83203125" style="9"/>
  </cols>
  <sheetData>
    <row r="3" spans="2:13" x14ac:dyDescent="0.2">
      <c r="B3" s="1"/>
      <c r="C3" s="2" t="s">
        <v>0</v>
      </c>
      <c r="D3" s="3"/>
      <c r="E3" s="4" t="s">
        <v>1</v>
      </c>
      <c r="F3" s="5"/>
      <c r="G3" s="6"/>
      <c r="H3" s="6"/>
      <c r="I3" s="7"/>
      <c r="J3" s="8"/>
      <c r="K3" s="1"/>
    </row>
    <row r="4" spans="2:13" ht="16" thickBot="1" x14ac:dyDescent="0.25">
      <c r="B4" s="1"/>
      <c r="C4" s="10" t="s">
        <v>2</v>
      </c>
      <c r="D4" s="11"/>
      <c r="E4" s="12"/>
      <c r="F4" s="11"/>
      <c r="G4" s="13"/>
      <c r="H4" s="8"/>
      <c r="I4" s="6"/>
      <c r="J4" s="6"/>
      <c r="K4" s="1"/>
    </row>
    <row r="5" spans="2:13" ht="22" thickBot="1" x14ac:dyDescent="0.35">
      <c r="B5" s="14"/>
      <c r="C5" s="15" t="s">
        <v>3</v>
      </c>
      <c r="D5" s="16" t="s">
        <v>4</v>
      </c>
      <c r="E5" s="17" t="s">
        <v>5</v>
      </c>
      <c r="F5" s="18"/>
      <c r="G5" s="19"/>
      <c r="H5" s="20"/>
      <c r="I5" s="21"/>
      <c r="J5" s="21"/>
      <c r="K5" s="22"/>
    </row>
    <row r="6" spans="2:13" ht="16" thickBot="1" x14ac:dyDescent="0.25">
      <c r="B6" s="23" t="s">
        <v>6</v>
      </c>
      <c r="C6" s="24" t="s">
        <v>7</v>
      </c>
      <c r="D6" s="25"/>
      <c r="E6" s="26" t="s">
        <v>8</v>
      </c>
      <c r="F6" s="23" t="s">
        <v>9</v>
      </c>
      <c r="G6" s="27"/>
      <c r="H6" s="23"/>
      <c r="I6" s="28"/>
      <c r="J6" s="29"/>
      <c r="K6" s="30" t="s">
        <v>10</v>
      </c>
    </row>
    <row r="7" spans="2:13" ht="17" x14ac:dyDescent="0.25">
      <c r="B7" s="31">
        <v>1</v>
      </c>
      <c r="C7" s="32" t="s">
        <v>11</v>
      </c>
      <c r="D7" s="33" t="s">
        <v>12</v>
      </c>
      <c r="E7" s="34" t="s">
        <v>13</v>
      </c>
      <c r="F7" s="35">
        <v>3070</v>
      </c>
      <c r="G7" s="36" t="s">
        <v>14</v>
      </c>
      <c r="H7" s="37">
        <v>6</v>
      </c>
      <c r="I7" s="38">
        <f>500*5+445</f>
        <v>2945</v>
      </c>
      <c r="J7" s="39">
        <v>6.72</v>
      </c>
      <c r="K7" s="40">
        <f t="shared" ref="K7:K20" si="0">I7*J7</f>
        <v>19790.399999999998</v>
      </c>
      <c r="M7" s="41"/>
    </row>
    <row r="8" spans="2:13" ht="17" x14ac:dyDescent="0.25">
      <c r="B8" s="31">
        <v>2</v>
      </c>
      <c r="C8" s="32" t="s">
        <v>15</v>
      </c>
      <c r="D8" s="33" t="s">
        <v>16</v>
      </c>
      <c r="E8" s="34" t="s">
        <v>13</v>
      </c>
      <c r="F8" s="35">
        <v>3975</v>
      </c>
      <c r="G8" s="42" t="s">
        <v>17</v>
      </c>
      <c r="H8" s="37">
        <v>8</v>
      </c>
      <c r="I8" s="38">
        <f>500*7+475</f>
        <v>3975</v>
      </c>
      <c r="J8" s="39">
        <v>7</v>
      </c>
      <c r="K8" s="40">
        <f t="shared" si="0"/>
        <v>27825</v>
      </c>
      <c r="M8" s="41"/>
    </row>
    <row r="9" spans="2:13" ht="17" x14ac:dyDescent="0.25">
      <c r="B9" s="31">
        <v>3</v>
      </c>
      <c r="C9" s="32" t="s">
        <v>18</v>
      </c>
      <c r="D9" s="33" t="s">
        <v>12</v>
      </c>
      <c r="E9" s="34" t="s">
        <v>19</v>
      </c>
      <c r="F9" s="35">
        <v>10590</v>
      </c>
      <c r="G9" s="36" t="s">
        <v>20</v>
      </c>
      <c r="H9" s="37">
        <v>21</v>
      </c>
      <c r="I9" s="38">
        <f>500*19+525+520</f>
        <v>10545</v>
      </c>
      <c r="J9" s="39">
        <v>6.72</v>
      </c>
      <c r="K9" s="40">
        <f t="shared" si="0"/>
        <v>70862.399999999994</v>
      </c>
      <c r="M9" s="41"/>
    </row>
    <row r="10" spans="2:13" ht="34" x14ac:dyDescent="0.25">
      <c r="B10" s="31">
        <v>4</v>
      </c>
      <c r="C10" s="32" t="s">
        <v>21</v>
      </c>
      <c r="D10" s="33" t="s">
        <v>12</v>
      </c>
      <c r="E10" s="34" t="s">
        <v>22</v>
      </c>
      <c r="F10" s="35">
        <v>30000</v>
      </c>
      <c r="G10" s="36" t="s">
        <v>23</v>
      </c>
      <c r="H10" s="37">
        <v>59</v>
      </c>
      <c r="I10" s="38">
        <f>500*54+615+600+565+540+245</f>
        <v>29565</v>
      </c>
      <c r="J10" s="39">
        <v>6.72</v>
      </c>
      <c r="K10" s="40">
        <f t="shared" si="0"/>
        <v>198676.8</v>
      </c>
      <c r="M10" s="41"/>
    </row>
    <row r="11" spans="2:13" ht="51" x14ac:dyDescent="0.25">
      <c r="B11" s="31">
        <v>5</v>
      </c>
      <c r="C11" s="32" t="s">
        <v>24</v>
      </c>
      <c r="D11" s="33" t="s">
        <v>12</v>
      </c>
      <c r="E11" s="34" t="s">
        <v>25</v>
      </c>
      <c r="F11" s="35">
        <v>22000</v>
      </c>
      <c r="G11" s="36" t="s">
        <v>26</v>
      </c>
      <c r="H11" s="37">
        <v>44</v>
      </c>
      <c r="I11" s="38">
        <f>500*38+630+565+560+495+480+470</f>
        <v>22200</v>
      </c>
      <c r="J11" s="39">
        <v>6.72</v>
      </c>
      <c r="K11" s="40">
        <f t="shared" si="0"/>
        <v>149184</v>
      </c>
      <c r="M11" s="41"/>
    </row>
    <row r="12" spans="2:13" ht="34" x14ac:dyDescent="0.25">
      <c r="B12" s="31">
        <v>6</v>
      </c>
      <c r="C12" s="32" t="s">
        <v>27</v>
      </c>
      <c r="D12" s="33" t="s">
        <v>28</v>
      </c>
      <c r="E12" s="34" t="s">
        <v>29</v>
      </c>
      <c r="F12" s="35">
        <v>15000</v>
      </c>
      <c r="G12" s="36" t="s">
        <v>30</v>
      </c>
      <c r="H12" s="37">
        <v>30</v>
      </c>
      <c r="I12" s="38">
        <f>500*27+585+550+525</f>
        <v>15160</v>
      </c>
      <c r="J12" s="39">
        <v>6.95</v>
      </c>
      <c r="K12" s="40">
        <f t="shared" si="0"/>
        <v>105362</v>
      </c>
      <c r="M12" s="41"/>
    </row>
    <row r="13" spans="2:13" ht="34" x14ac:dyDescent="0.25">
      <c r="B13" s="31">
        <v>7</v>
      </c>
      <c r="C13" s="32" t="s">
        <v>31</v>
      </c>
      <c r="D13" s="33" t="s">
        <v>28</v>
      </c>
      <c r="E13" s="34" t="s">
        <v>32</v>
      </c>
      <c r="F13" s="35">
        <v>20000</v>
      </c>
      <c r="G13" s="36" t="s">
        <v>33</v>
      </c>
      <c r="H13" s="37">
        <v>40</v>
      </c>
      <c r="I13" s="38">
        <f>500*36+555+515+510+470</f>
        <v>20050</v>
      </c>
      <c r="J13" s="39">
        <v>6.95</v>
      </c>
      <c r="K13" s="40">
        <f t="shared" si="0"/>
        <v>139347.5</v>
      </c>
      <c r="M13" s="41"/>
    </row>
    <row r="14" spans="2:13" ht="34" x14ac:dyDescent="0.25">
      <c r="B14" s="31">
        <v>8</v>
      </c>
      <c r="C14" s="32" t="s">
        <v>34</v>
      </c>
      <c r="D14" s="33" t="s">
        <v>28</v>
      </c>
      <c r="E14" s="34" t="s">
        <v>35</v>
      </c>
      <c r="F14" s="35">
        <v>22000</v>
      </c>
      <c r="G14" s="36" t="s">
        <v>36</v>
      </c>
      <c r="H14" s="37">
        <v>44</v>
      </c>
      <c r="I14" s="38">
        <f>500*39+615+520+510+495*2</f>
        <v>22135</v>
      </c>
      <c r="J14" s="39">
        <v>6.95</v>
      </c>
      <c r="K14" s="40">
        <f t="shared" si="0"/>
        <v>153838.25</v>
      </c>
      <c r="M14" s="41"/>
    </row>
    <row r="15" spans="2:13" ht="34" x14ac:dyDescent="0.25">
      <c r="B15" s="31">
        <v>9</v>
      </c>
      <c r="C15" s="32" t="s">
        <v>37</v>
      </c>
      <c r="D15" s="33" t="s">
        <v>28</v>
      </c>
      <c r="E15" s="34" t="s">
        <v>38</v>
      </c>
      <c r="F15" s="35">
        <v>22000</v>
      </c>
      <c r="G15" s="36" t="s">
        <v>39</v>
      </c>
      <c r="H15" s="37">
        <v>44</v>
      </c>
      <c r="I15" s="38">
        <f>500*39+640+595+545+530+460</f>
        <v>22270</v>
      </c>
      <c r="J15" s="39">
        <v>6.95</v>
      </c>
      <c r="K15" s="40">
        <f t="shared" si="0"/>
        <v>154776.5</v>
      </c>
      <c r="M15" s="41"/>
    </row>
    <row r="16" spans="2:13" ht="17" x14ac:dyDescent="0.25">
      <c r="B16" s="31">
        <v>10</v>
      </c>
      <c r="C16" s="32" t="s">
        <v>40</v>
      </c>
      <c r="D16" s="33" t="s">
        <v>28</v>
      </c>
      <c r="E16" s="34" t="s">
        <v>41</v>
      </c>
      <c r="F16" s="35">
        <v>2480</v>
      </c>
      <c r="G16" s="36" t="s">
        <v>42</v>
      </c>
      <c r="H16" s="37">
        <v>5</v>
      </c>
      <c r="I16" s="38">
        <f>500*4+435</f>
        <v>2435</v>
      </c>
      <c r="J16" s="39">
        <v>6.95</v>
      </c>
      <c r="K16" s="40">
        <f t="shared" si="0"/>
        <v>16923.25</v>
      </c>
      <c r="M16" s="41"/>
    </row>
    <row r="17" spans="2:13" ht="17" x14ac:dyDescent="0.25">
      <c r="B17" s="31">
        <v>11</v>
      </c>
      <c r="C17" s="32" t="s">
        <v>43</v>
      </c>
      <c r="D17" s="33" t="s">
        <v>28</v>
      </c>
      <c r="E17" s="34" t="s">
        <v>44</v>
      </c>
      <c r="F17" s="35">
        <v>7000</v>
      </c>
      <c r="G17" s="36" t="s">
        <v>45</v>
      </c>
      <c r="H17" s="37">
        <v>14</v>
      </c>
      <c r="I17" s="38">
        <f>500*12+560+530</f>
        <v>7090</v>
      </c>
      <c r="J17" s="39">
        <v>6.95</v>
      </c>
      <c r="K17" s="40">
        <f t="shared" si="0"/>
        <v>49275.5</v>
      </c>
      <c r="M17" s="41"/>
    </row>
    <row r="18" spans="2:13" ht="17" x14ac:dyDescent="0.25">
      <c r="B18" s="31">
        <v>12</v>
      </c>
      <c r="C18" s="32" t="s">
        <v>46</v>
      </c>
      <c r="D18" s="33" t="s">
        <v>28</v>
      </c>
      <c r="E18" s="34" t="s">
        <v>47</v>
      </c>
      <c r="F18" s="35">
        <v>8000</v>
      </c>
      <c r="G18" s="36" t="s">
        <v>48</v>
      </c>
      <c r="H18" s="37">
        <v>16</v>
      </c>
      <c r="I18" s="38">
        <f>500*14+550+470</f>
        <v>8020</v>
      </c>
      <c r="J18" s="39">
        <v>6.95</v>
      </c>
      <c r="K18" s="40">
        <f t="shared" si="0"/>
        <v>55739</v>
      </c>
      <c r="M18" s="41"/>
    </row>
    <row r="19" spans="2:13" ht="17" x14ac:dyDescent="0.25">
      <c r="B19" s="31">
        <v>13</v>
      </c>
      <c r="C19" s="32" t="s">
        <v>49</v>
      </c>
      <c r="D19" s="33" t="s">
        <v>12</v>
      </c>
      <c r="E19" s="34" t="s">
        <v>50</v>
      </c>
      <c r="F19" s="35">
        <v>8000</v>
      </c>
      <c r="G19" s="36" t="s">
        <v>51</v>
      </c>
      <c r="H19" s="37">
        <v>17</v>
      </c>
      <c r="I19" s="38">
        <f>500*15+575+220</f>
        <v>8295</v>
      </c>
      <c r="J19" s="39">
        <v>6.72</v>
      </c>
      <c r="K19" s="40">
        <f t="shared" si="0"/>
        <v>55742.400000000001</v>
      </c>
      <c r="M19" s="41"/>
    </row>
    <row r="20" spans="2:13" ht="35" thickBot="1" x14ac:dyDescent="0.3">
      <c r="B20" s="31">
        <v>14</v>
      </c>
      <c r="C20" s="32" t="s">
        <v>52</v>
      </c>
      <c r="D20" s="33" t="s">
        <v>12</v>
      </c>
      <c r="E20" s="34" t="s">
        <v>53</v>
      </c>
      <c r="F20" s="35">
        <v>22000</v>
      </c>
      <c r="G20" s="36" t="s">
        <v>54</v>
      </c>
      <c r="H20" s="37">
        <v>44</v>
      </c>
      <c r="I20" s="38">
        <f>500*40+580+570+535+375</f>
        <v>22060</v>
      </c>
      <c r="J20" s="39">
        <v>6.72</v>
      </c>
      <c r="K20" s="40">
        <f t="shared" si="0"/>
        <v>148243.19999999998</v>
      </c>
      <c r="M20" s="41"/>
    </row>
    <row r="21" spans="2:13" ht="17" thickBot="1" x14ac:dyDescent="0.3">
      <c r="B21" s="43"/>
      <c r="C21" s="44"/>
      <c r="D21" s="45"/>
      <c r="E21" s="46"/>
      <c r="F21" s="47">
        <f>SUM(F7:F20)</f>
        <v>196115</v>
      </c>
      <c r="G21" s="48"/>
      <c r="H21" s="47">
        <f>SUM(H7:H20)</f>
        <v>392</v>
      </c>
      <c r="I21" s="47">
        <f>SUM(I7:I20)</f>
        <v>196745</v>
      </c>
      <c r="J21" s="47"/>
      <c r="K21" s="49">
        <f>SUM(K7:K20)</f>
        <v>1345586.2</v>
      </c>
    </row>
    <row r="22" spans="2:13" ht="17" thickBot="1" x14ac:dyDescent="0.3">
      <c r="B22" s="50"/>
      <c r="C22" s="51"/>
      <c r="D22" s="52"/>
      <c r="E22" s="51"/>
      <c r="F22" s="53"/>
      <c r="G22" s="54"/>
      <c r="H22" s="55"/>
      <c r="I22" s="54"/>
      <c r="J22" s="56">
        <v>0.18</v>
      </c>
      <c r="K22" s="57">
        <f>+K21*0.18</f>
        <v>242205.51599999997</v>
      </c>
    </row>
    <row r="23" spans="2:13" ht="17" thickBot="1" x14ac:dyDescent="0.3">
      <c r="J23" s="50"/>
      <c r="K23" s="58">
        <f>+K21+K22</f>
        <v>1587791.716</v>
      </c>
    </row>
    <row r="24" spans="2:13" x14ac:dyDescent="0.2">
      <c r="F24" s="41"/>
      <c r="H24" s="41"/>
      <c r="I24" s="41"/>
    </row>
    <row r="25" spans="2:13" x14ac:dyDescent="0.2">
      <c r="B25" s="1"/>
      <c r="C25" s="2" t="s">
        <v>0</v>
      </c>
      <c r="D25" s="3"/>
      <c r="E25" s="4" t="s">
        <v>1</v>
      </c>
      <c r="F25" s="5"/>
      <c r="G25" s="6"/>
      <c r="H25" s="6"/>
      <c r="I25" s="7"/>
      <c r="J25" s="8"/>
      <c r="K25" s="1"/>
    </row>
    <row r="26" spans="2:13" ht="16" thickBot="1" x14ac:dyDescent="0.25">
      <c r="B26" s="1"/>
      <c r="C26" s="10" t="s">
        <v>55</v>
      </c>
      <c r="D26" s="11"/>
      <c r="E26" s="12"/>
      <c r="F26" s="11"/>
      <c r="G26" s="13"/>
      <c r="H26" s="8"/>
      <c r="I26" s="6"/>
      <c r="J26" s="6"/>
      <c r="K26" s="1"/>
    </row>
    <row r="27" spans="2:13" ht="22" thickBot="1" x14ac:dyDescent="0.35">
      <c r="B27" s="14"/>
      <c r="C27" s="15" t="s">
        <v>3</v>
      </c>
      <c r="D27" s="16" t="s">
        <v>56</v>
      </c>
      <c r="E27" s="17" t="s">
        <v>5</v>
      </c>
      <c r="F27" s="18"/>
      <c r="G27" s="19"/>
      <c r="H27" s="20"/>
      <c r="I27" s="21"/>
      <c r="J27" s="21"/>
      <c r="K27" s="22"/>
    </row>
    <row r="28" spans="2:13" ht="16" thickBot="1" x14ac:dyDescent="0.25">
      <c r="B28" s="23" t="s">
        <v>6</v>
      </c>
      <c r="C28" s="24" t="s">
        <v>7</v>
      </c>
      <c r="D28" s="25"/>
      <c r="E28" s="27" t="s">
        <v>8</v>
      </c>
      <c r="F28" s="23" t="s">
        <v>9</v>
      </c>
      <c r="G28" s="27"/>
      <c r="H28" s="23"/>
      <c r="I28" s="28"/>
      <c r="J28" s="29"/>
      <c r="K28" s="30" t="s">
        <v>10</v>
      </c>
    </row>
    <row r="29" spans="2:13" ht="18" thickBot="1" x14ac:dyDescent="0.3">
      <c r="B29" s="31">
        <v>1</v>
      </c>
      <c r="C29" s="32" t="s">
        <v>18</v>
      </c>
      <c r="D29" s="33" t="s">
        <v>12</v>
      </c>
      <c r="E29" s="34" t="s">
        <v>19</v>
      </c>
      <c r="F29" s="35">
        <v>5500</v>
      </c>
      <c r="G29" s="36" t="s">
        <v>57</v>
      </c>
      <c r="H29" s="37">
        <v>11</v>
      </c>
      <c r="I29" s="38">
        <f>500*9+620+600</f>
        <v>5720</v>
      </c>
      <c r="J29" s="39">
        <v>6.72</v>
      </c>
      <c r="K29" s="40">
        <f t="shared" ref="K29" si="1">I29*J29</f>
        <v>38438.400000000001</v>
      </c>
    </row>
    <row r="30" spans="2:13" ht="17" thickBot="1" x14ac:dyDescent="0.3">
      <c r="B30" s="43"/>
      <c r="C30" s="44"/>
      <c r="D30" s="45"/>
      <c r="E30" s="46"/>
      <c r="F30" s="47">
        <f>SUM(F29:F29)</f>
        <v>5500</v>
      </c>
      <c r="G30" s="48"/>
      <c r="H30" s="47">
        <f>SUM(H29:H29)</f>
        <v>11</v>
      </c>
      <c r="I30" s="47">
        <f>SUM(I29:I29)</f>
        <v>5720</v>
      </c>
      <c r="J30" s="47"/>
      <c r="K30" s="49">
        <f>SUM(K29:K29)</f>
        <v>38438.400000000001</v>
      </c>
    </row>
    <row r="31" spans="2:13" ht="17" thickBot="1" x14ac:dyDescent="0.3">
      <c r="B31" s="50"/>
      <c r="C31" s="51"/>
      <c r="D31" s="52"/>
      <c r="E31" s="51"/>
      <c r="F31" s="53"/>
      <c r="G31" s="54"/>
      <c r="H31" s="55"/>
      <c r="I31" s="54"/>
      <c r="J31" s="56">
        <v>0.18</v>
      </c>
      <c r="K31" s="57">
        <f>+K30*0.18</f>
        <v>6918.9120000000003</v>
      </c>
    </row>
    <row r="32" spans="2:13" ht="17" thickBot="1" x14ac:dyDescent="0.3">
      <c r="J32" s="50"/>
      <c r="K32" s="58">
        <f>+K30+K31</f>
        <v>45357.312000000005</v>
      </c>
    </row>
  </sheetData>
  <conditionalFormatting sqref="C21:C22">
    <cfRule type="duplicateValues" dxfId="1" priority="2"/>
  </conditionalFormatting>
  <conditionalFormatting sqref="C30:C31">
    <cfRule type="duplicateValues" dxfId="0" priority="1"/>
  </conditionalFormatting>
  <pageMargins left="0.7" right="0.7" top="0.75" bottom="0.75" header="0.3" footer="0.3"/>
  <pageSetup paperSize="9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D5AFC-0D7B-1143-93B5-06A859DDF414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 June 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</cp:lastModifiedBy>
  <dcterms:created xsi:type="dcterms:W3CDTF">2026-06-21T10:11:09Z</dcterms:created>
  <dcterms:modified xsi:type="dcterms:W3CDTF">2026-06-21T10:11:31Z</dcterms:modified>
</cp:coreProperties>
</file>