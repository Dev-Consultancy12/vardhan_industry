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0B5D489E-9A9E-2B45-9A7B-64D7349FFDE8}" xr6:coauthVersionLast="47" xr6:coauthVersionMax="47" xr10:uidLastSave="{00000000-0000-0000-0000-000000000000}"/>
  <bookViews>
    <workbookView xWindow="780" yWindow="1000" windowWidth="27640" windowHeight="15640" xr2:uid="{84C7C5BA-1544-3143-AEE0-5AFC096A5D5D}"/>
  </bookViews>
  <sheets>
    <sheet name="5 June 26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2" l="1"/>
  <c r="H72" i="2"/>
  <c r="H77" i="2" s="1"/>
  <c r="F72" i="2"/>
  <c r="F77" i="2" s="1"/>
  <c r="I71" i="2"/>
  <c r="K71" i="2" s="1"/>
  <c r="K72" i="2" s="1"/>
  <c r="H63" i="2"/>
  <c r="F63" i="2"/>
  <c r="I62" i="2"/>
  <c r="K62" i="2" s="1"/>
  <c r="I61" i="2"/>
  <c r="K61" i="2" s="1"/>
  <c r="I60" i="2"/>
  <c r="K60" i="2" s="1"/>
  <c r="I59" i="2"/>
  <c r="K59" i="2" s="1"/>
  <c r="I58" i="2"/>
  <c r="K58" i="2" s="1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K47" i="2" s="1"/>
  <c r="I46" i="2"/>
  <c r="K46" i="2" s="1"/>
  <c r="I45" i="2"/>
  <c r="K45" i="2" s="1"/>
  <c r="I44" i="2"/>
  <c r="K44" i="2" s="1"/>
  <c r="I43" i="2"/>
  <c r="K43" i="2" s="1"/>
  <c r="I42" i="2"/>
  <c r="K42" i="2" s="1"/>
  <c r="I41" i="2"/>
  <c r="K41" i="2" s="1"/>
  <c r="I40" i="2"/>
  <c r="K40" i="2" s="1"/>
  <c r="I39" i="2"/>
  <c r="K39" i="2" s="1"/>
  <c r="I38" i="2"/>
  <c r="K38" i="2" s="1"/>
  <c r="I37" i="2"/>
  <c r="K37" i="2" s="1"/>
  <c r="I36" i="2"/>
  <c r="K36" i="2" s="1"/>
  <c r="I35" i="2"/>
  <c r="K35" i="2" s="1"/>
  <c r="I34" i="2"/>
  <c r="K34" i="2" s="1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8" i="2" s="1"/>
  <c r="I9" i="2"/>
  <c r="H9" i="2"/>
  <c r="F9" i="2"/>
  <c r="I8" i="2"/>
  <c r="K8" i="2" s="1"/>
  <c r="K9" i="2" s="1"/>
  <c r="K63" i="2" l="1"/>
  <c r="K10" i="2"/>
  <c r="K11" i="2"/>
  <c r="K73" i="2"/>
  <c r="K74" i="2" s="1"/>
  <c r="I63" i="2"/>
  <c r="I77" i="2" s="1"/>
  <c r="K65" i="2" l="1"/>
  <c r="K64" i="2"/>
</calcChain>
</file>

<file path=xl/sharedStrings.xml><?xml version="1.0" encoding="utf-8"?>
<sst xmlns="http://schemas.openxmlformats.org/spreadsheetml/2006/main" count="221" uniqueCount="143">
  <si>
    <t>PACKING DETAILS</t>
  </si>
  <si>
    <t>VENDOR CODE-20300788</t>
  </si>
  <si>
    <t>PO No: POP2202604140012  Dt: 14-04-2026</t>
  </si>
  <si>
    <t>INVOICE NO------</t>
  </si>
  <si>
    <t>45</t>
  </si>
  <si>
    <t>Dt: 05-06-2026</t>
  </si>
  <si>
    <t>SN</t>
  </si>
  <si>
    <t>ITEM CODE</t>
  </si>
  <si>
    <t>COLOUR</t>
  </si>
  <si>
    <t>ORDER</t>
  </si>
  <si>
    <t>AMOUNT</t>
  </si>
  <si>
    <t>3220-00020-40</t>
  </si>
  <si>
    <t>AVSS 0.5F</t>
  </si>
  <si>
    <t>BLACK/LIGHT GREEN</t>
  </si>
  <si>
    <t>5*500</t>
  </si>
  <si>
    <t>PO No: POP2202605080012  Dt: 08-05-2026</t>
  </si>
  <si>
    <t>46</t>
  </si>
  <si>
    <t>3220-00080-00</t>
  </si>
  <si>
    <t>AVSSX 0.5F</t>
  </si>
  <si>
    <t>BLACK/BLUE</t>
  </si>
  <si>
    <t>4*500, 1*375</t>
  </si>
  <si>
    <t>3220-00080-01</t>
  </si>
  <si>
    <t>YELLOW/RED</t>
  </si>
  <si>
    <t>3220-00080-02</t>
  </si>
  <si>
    <t>BLUE/RED</t>
  </si>
  <si>
    <t>4*500, 1*370</t>
  </si>
  <si>
    <t>3220-00080-03</t>
  </si>
  <si>
    <t>WHITE/BLUE</t>
  </si>
  <si>
    <t>4*500, 1*390</t>
  </si>
  <si>
    <t>3220-00080-04</t>
  </si>
  <si>
    <t>PINK</t>
  </si>
  <si>
    <t>4*500, 1*425</t>
  </si>
  <si>
    <t>3220-00080-05</t>
  </si>
  <si>
    <t>LIGHT-GREEN/RED</t>
  </si>
  <si>
    <t>4*500, 1*360</t>
  </si>
  <si>
    <t>3220-00080-06</t>
  </si>
  <si>
    <t>YELLOW</t>
  </si>
  <si>
    <t>5*500, 1*400</t>
  </si>
  <si>
    <t>3220-00080-07</t>
  </si>
  <si>
    <t>WHITE/YELLOW</t>
  </si>
  <si>
    <t>3220-00080-08</t>
  </si>
  <si>
    <t>WHITE/RED</t>
  </si>
  <si>
    <t>4*500, 1*320</t>
  </si>
  <si>
    <t>3220-00020-37</t>
  </si>
  <si>
    <t>BROWN</t>
  </si>
  <si>
    <t>6*500, 1*400</t>
  </si>
  <si>
    <t>3220-00020-22</t>
  </si>
  <si>
    <t>BLUE/YELLOW</t>
  </si>
  <si>
    <t>4*500, 1*495</t>
  </si>
  <si>
    <t>3220-00020-38</t>
  </si>
  <si>
    <t>YELLOW/GREEN</t>
  </si>
  <si>
    <t>4*500, 1*435</t>
  </si>
  <si>
    <t>3220-00046-00</t>
  </si>
  <si>
    <t>AV 0.75F</t>
  </si>
  <si>
    <t>GREEN</t>
  </si>
  <si>
    <t>7*500, 1*295</t>
  </si>
  <si>
    <t>3220-00046-01</t>
  </si>
  <si>
    <t>BLACK/WHITE</t>
  </si>
  <si>
    <t>7*500, 1*285</t>
  </si>
  <si>
    <t>3220-00017-09</t>
  </si>
  <si>
    <t>AVS 0.5F</t>
  </si>
  <si>
    <t>7*500, 1*300</t>
  </si>
  <si>
    <t>3220-00019-20</t>
  </si>
  <si>
    <t>AV 0.5F</t>
  </si>
  <si>
    <t>GREEN/YELLOW</t>
  </si>
  <si>
    <t>7*500, 1*420</t>
  </si>
  <si>
    <t>3220-00041-02</t>
  </si>
  <si>
    <t>AVSSH 0.5F</t>
  </si>
  <si>
    <t>BROWN/GREEN</t>
  </si>
  <si>
    <t>6*500, 1*430</t>
  </si>
  <si>
    <t>3220-00041-06</t>
  </si>
  <si>
    <t>VIOLET/RED</t>
  </si>
  <si>
    <t>6*500, 1*455</t>
  </si>
  <si>
    <t>3220-00019-16</t>
  </si>
  <si>
    <t>5*500, 1*545, 1*470</t>
  </si>
  <si>
    <t>3220-00019-17</t>
  </si>
  <si>
    <t>5*500, 1*565</t>
  </si>
  <si>
    <t>3220-00057-00</t>
  </si>
  <si>
    <t>11*500, 1*570, 1*400</t>
  </si>
  <si>
    <t>3220-00057-01</t>
  </si>
  <si>
    <t>GREEN/WHITE</t>
  </si>
  <si>
    <t>12*500, 1*540</t>
  </si>
  <si>
    <t>BLACK/LIGHT-GREEN</t>
  </si>
  <si>
    <t>5*500, 1*490, 1*420</t>
  </si>
  <si>
    <t>3220-00020-34</t>
  </si>
  <si>
    <t>BLACK</t>
  </si>
  <si>
    <t>56*500, 1*650, 1*635, 1*600, 1*560</t>
  </si>
  <si>
    <t>3220-00020-32</t>
  </si>
  <si>
    <t>27*500, 1*530, 1*525, 1*485, 1*465, 1*458, 1*420, 1*330</t>
  </si>
  <si>
    <t>3207-01330-08</t>
  </si>
  <si>
    <t>AVX 0.5F</t>
  </si>
  <si>
    <t>11*500, 1*620</t>
  </si>
  <si>
    <t>3207-01330-10</t>
  </si>
  <si>
    <t>19*500, 1*550, 1*520, 1*490</t>
  </si>
  <si>
    <t>3207-01330-11</t>
  </si>
  <si>
    <t>19*500, 1*625, 1*575, 1*515</t>
  </si>
  <si>
    <t>3207-01330-12</t>
  </si>
  <si>
    <t>22*500, 1*590, 1*580, 1*445</t>
  </si>
  <si>
    <t>3207-01330-13</t>
  </si>
  <si>
    <t>19*500, 1*595, 1*590, 1*520</t>
  </si>
  <si>
    <t>3207-01505-00</t>
  </si>
  <si>
    <t>7*500, 1*460</t>
  </si>
  <si>
    <t>3207-01505-02</t>
  </si>
  <si>
    <t>10*500, 1*355</t>
  </si>
  <si>
    <t>3207-01505-03</t>
  </si>
  <si>
    <t>ORANGE</t>
  </si>
  <si>
    <t>10*500, 1*330</t>
  </si>
  <si>
    <t>3207-01505-04</t>
  </si>
  <si>
    <t>RED</t>
  </si>
  <si>
    <t>10*500, 1*315</t>
  </si>
  <si>
    <t>3207-01505-05</t>
  </si>
  <si>
    <t>5*500, 1*470</t>
  </si>
  <si>
    <t>3207-01330-14</t>
  </si>
  <si>
    <t>BLACK/RED</t>
  </si>
  <si>
    <t>6*500</t>
  </si>
  <si>
    <t>3207-01330-15</t>
  </si>
  <si>
    <t>GRAY/BLACK</t>
  </si>
  <si>
    <t>7*500, 1*550</t>
  </si>
  <si>
    <t>3220-00020-45</t>
  </si>
  <si>
    <t>7*500, 1*540</t>
  </si>
  <si>
    <t>3220-00020-33</t>
  </si>
  <si>
    <t>16*500, 1*560, 1*455</t>
  </si>
  <si>
    <t>3220-00032-55</t>
  </si>
  <si>
    <t>7*500, 1*555</t>
  </si>
  <si>
    <t>3220-00032-45</t>
  </si>
  <si>
    <t>BLUE</t>
  </si>
  <si>
    <t>5*500, 1*455, 1*430</t>
  </si>
  <si>
    <t>3220-00032-26</t>
  </si>
  <si>
    <t>7*500, 1*350</t>
  </si>
  <si>
    <t>3220-00069-02</t>
  </si>
  <si>
    <t>BROWN/BLUE</t>
  </si>
  <si>
    <t>7*500, 1*400</t>
  </si>
  <si>
    <t>3220-00054-09</t>
  </si>
  <si>
    <t>YELLOW/WHITE</t>
  </si>
  <si>
    <t>6*500, 1*565, 1*390</t>
  </si>
  <si>
    <t>3220-00018-03</t>
  </si>
  <si>
    <t>AVS 1.25F</t>
  </si>
  <si>
    <t>RED/WHITE</t>
  </si>
  <si>
    <t>PO No: POP2202605130006  Dt: 13-05-2026</t>
  </si>
  <si>
    <t>47</t>
  </si>
  <si>
    <t>3220-00034-02</t>
  </si>
  <si>
    <t>FLRY-B 1.5MM</t>
  </si>
  <si>
    <t>7*500, 1*325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</si>
</sst>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,##0"/>
    <numFmt numFmtId="165" formatCode="[$-409]d\-mmm\-yy;@"/>
    <numFmt numFmtId="166" formatCode="###,###,###,###,##0.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2"/>
    </font>
    <font>
      <sz val="11"/>
      <color theme="1"/>
      <name val="Segoe UI"/>
      <family val="2"/>
    </font>
    <font>
      <b/>
      <sz val="9"/>
      <name val="Segoe U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/>
    <xf numFmtId="0" fontId="1" fillId="0" borderId="0" xfId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2" fillId="0" borderId="2" xfId="1" applyFont="1" applyBorder="1"/>
    <xf numFmtId="0" fontId="6" fillId="0" borderId="2" xfId="1" applyFont="1" applyBorder="1" applyAlignment="1">
      <alignment horizontal="left"/>
    </xf>
    <xf numFmtId="49" fontId="7" fillId="0" borderId="3" xfId="1" applyNumberFormat="1" applyFont="1" applyBorder="1" applyAlignment="1">
      <alignment horizontal="center"/>
    </xf>
    <xf numFmtId="165" fontId="6" fillId="0" borderId="4" xfId="1" applyNumberFormat="1" applyFont="1" applyBorder="1" applyAlignment="1">
      <alignment horizontal="center"/>
    </xf>
    <xf numFmtId="16" fontId="2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2" fillId="0" borderId="5" xfId="1" applyFont="1" applyBorder="1"/>
    <xf numFmtId="0" fontId="3" fillId="0" borderId="5" xfId="1" applyFont="1" applyBorder="1" applyAlignment="1">
      <alignment horizontal="center"/>
    </xf>
    <xf numFmtId="0" fontId="2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4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164" fontId="9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164" fontId="1" fillId="0" borderId="0" xfId="1" applyNumberFormat="1"/>
    <xf numFmtId="0" fontId="10" fillId="0" borderId="14" xfId="1" applyFont="1" applyBorder="1"/>
    <xf numFmtId="0" fontId="9" fillId="0" borderId="15" xfId="1" applyFont="1" applyBorder="1" applyAlignment="1">
      <alignment horizontal="left"/>
    </xf>
    <xf numFmtId="0" fontId="9" fillId="0" borderId="15" xfId="1" applyFont="1" applyBorder="1" applyAlignment="1">
      <alignment horizontal="center"/>
    </xf>
    <xf numFmtId="0" fontId="9" fillId="0" borderId="16" xfId="1" applyFont="1" applyBorder="1"/>
    <xf numFmtId="164" fontId="8" fillId="0" borderId="10" xfId="1" applyNumberFormat="1" applyFont="1" applyBorder="1" applyAlignment="1">
      <alignment horizontal="center"/>
    </xf>
    <xf numFmtId="0" fontId="10" fillId="0" borderId="10" xfId="1" applyFont="1" applyBorder="1"/>
    <xf numFmtId="166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10" fillId="0" borderId="0" xfId="1" applyFont="1"/>
    <xf numFmtId="164" fontId="8" fillId="0" borderId="0" xfId="1" applyNumberFormat="1" applyFont="1" applyAlignment="1">
      <alignment horizontal="center"/>
    </xf>
    <xf numFmtId="9" fontId="8" fillId="0" borderId="0" xfId="1" applyNumberFormat="1" applyFont="1" applyAlignment="1">
      <alignment horizontal="center"/>
    </xf>
    <xf numFmtId="2" fontId="10" fillId="0" borderId="17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 vertical="center"/>
    </xf>
  </cellXfs>
  <cellStyles count="2">
    <cellStyle name="Normal" xfId="0" builtinId="0"/>
    <cellStyle name="Normal 2 3" xfId="1" xr:uid="{B7C048B1-E767-3D46-AF0F-7D7B4F0913B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E6C1-7B4D-B44C-824A-5B30BCBD8C13}">
  <dimension ref="B4:M77"/>
  <sheetViews>
    <sheetView tabSelected="1" topLeftCell="A56" zoomScale="133" zoomScaleNormal="70" workbookViewId="0">
      <selection activeCell="E73" sqref="E73"/>
    </sheetView>
  </sheetViews>
  <sheetFormatPr baseColWidth="10" defaultColWidth="8.83203125" defaultRowHeight="15" x14ac:dyDescent="0.2"/>
  <cols>
    <col min="1" max="1" width="8.83203125" style="9"/>
    <col min="2" max="2" width="3.33203125" style="9" bestFit="1" customWidth="1"/>
    <col min="3" max="3" width="17.1640625" style="9" customWidth="1"/>
    <col min="4" max="4" width="12" style="9" customWidth="1"/>
    <col min="5" max="5" width="22" style="9" bestFit="1" customWidth="1"/>
    <col min="6" max="6" width="9.33203125" style="9" customWidth="1"/>
    <col min="7" max="7" width="23.33203125" style="9" customWidth="1"/>
    <col min="8" max="8" width="7.1640625" style="9" bestFit="1" customWidth="1"/>
    <col min="9" max="9" width="8.6640625" style="9" bestFit="1" customWidth="1"/>
    <col min="10" max="10" width="6.33203125" style="9" customWidth="1"/>
    <col min="11" max="11" width="13.6640625" style="9" customWidth="1"/>
    <col min="12" max="16384" width="8.83203125" style="9"/>
  </cols>
  <sheetData>
    <row r="4" spans="2:13" x14ac:dyDescent="0.2">
      <c r="B4" s="1"/>
      <c r="C4" s="2" t="s">
        <v>0</v>
      </c>
      <c r="D4" s="3"/>
      <c r="E4" s="4" t="s">
        <v>1</v>
      </c>
      <c r="F4" s="5"/>
      <c r="G4" s="6"/>
      <c r="H4" s="6"/>
      <c r="I4" s="7"/>
      <c r="J4" s="8"/>
      <c r="K4" s="1"/>
    </row>
    <row r="5" spans="2:13" ht="16" thickBot="1" x14ac:dyDescent="0.25">
      <c r="B5" s="1"/>
      <c r="C5" s="10" t="s">
        <v>2</v>
      </c>
      <c r="D5" s="11"/>
      <c r="E5" s="12"/>
      <c r="F5" s="11"/>
      <c r="G5" s="13"/>
      <c r="H5" s="8"/>
      <c r="I5" s="6"/>
      <c r="J5" s="6"/>
      <c r="K5" s="1"/>
    </row>
    <row r="6" spans="2:13" ht="22" thickBot="1" x14ac:dyDescent="0.35">
      <c r="B6" s="14"/>
      <c r="C6" s="15" t="s">
        <v>3</v>
      </c>
      <c r="D6" s="16" t="s">
        <v>4</v>
      </c>
      <c r="E6" s="17" t="s">
        <v>5</v>
      </c>
      <c r="F6" s="18"/>
      <c r="G6" s="19"/>
      <c r="H6" s="20"/>
      <c r="I6" s="21"/>
      <c r="J6" s="21"/>
      <c r="K6" s="22"/>
    </row>
    <row r="7" spans="2:13" ht="16" thickBot="1" x14ac:dyDescent="0.25">
      <c r="B7" s="23" t="s">
        <v>6</v>
      </c>
      <c r="C7" s="24" t="s">
        <v>7</v>
      </c>
      <c r="D7" s="25"/>
      <c r="E7" s="26" t="s">
        <v>8</v>
      </c>
      <c r="F7" s="23" t="s">
        <v>9</v>
      </c>
      <c r="G7" s="26"/>
      <c r="H7" s="23"/>
      <c r="I7" s="27"/>
      <c r="J7" s="28"/>
      <c r="K7" s="29" t="s">
        <v>10</v>
      </c>
    </row>
    <row r="8" spans="2:13" ht="18" thickBot="1" x14ac:dyDescent="0.3">
      <c r="B8" s="30">
        <v>1</v>
      </c>
      <c r="C8" s="31" t="s">
        <v>11</v>
      </c>
      <c r="D8" s="32" t="s">
        <v>12</v>
      </c>
      <c r="E8" s="33" t="s">
        <v>13</v>
      </c>
      <c r="F8" s="34">
        <v>2690</v>
      </c>
      <c r="G8" s="35" t="s">
        <v>14</v>
      </c>
      <c r="H8" s="36">
        <v>5</v>
      </c>
      <c r="I8" s="37">
        <f>500*5</f>
        <v>2500</v>
      </c>
      <c r="J8" s="38">
        <v>6.72</v>
      </c>
      <c r="K8" s="39">
        <f t="shared" ref="K8" si="0">I8*J8</f>
        <v>16800</v>
      </c>
      <c r="M8" s="40"/>
    </row>
    <row r="9" spans="2:13" ht="17" thickBot="1" x14ac:dyDescent="0.3">
      <c r="B9" s="41"/>
      <c r="C9" s="42"/>
      <c r="D9" s="43"/>
      <c r="E9" s="44"/>
      <c r="F9" s="45">
        <f>SUM(F8:F8)</f>
        <v>2690</v>
      </c>
      <c r="G9" s="46"/>
      <c r="H9" s="45">
        <f>SUM(H8:H8)</f>
        <v>5</v>
      </c>
      <c r="I9" s="45">
        <f>SUM(I8:I8)</f>
        <v>2500</v>
      </c>
      <c r="J9" s="45"/>
      <c r="K9" s="47">
        <f>SUM(K8:K8)</f>
        <v>16800</v>
      </c>
    </row>
    <row r="10" spans="2:13" ht="17" thickBot="1" x14ac:dyDescent="0.3">
      <c r="B10" s="48"/>
      <c r="C10" s="49"/>
      <c r="D10" s="50"/>
      <c r="E10" s="49"/>
      <c r="F10" s="51"/>
      <c r="G10" s="52"/>
      <c r="H10" s="53"/>
      <c r="I10" s="52"/>
      <c r="J10" s="54">
        <v>0.18</v>
      </c>
      <c r="K10" s="55">
        <f>+K9*0.18</f>
        <v>3024</v>
      </c>
    </row>
    <row r="11" spans="2:13" ht="17" thickBot="1" x14ac:dyDescent="0.3">
      <c r="J11" s="48"/>
      <c r="K11" s="56">
        <f>+K9+K10</f>
        <v>19824</v>
      </c>
    </row>
    <row r="14" spans="2:13" x14ac:dyDescent="0.2">
      <c r="B14" s="1"/>
      <c r="C14" s="2" t="s">
        <v>0</v>
      </c>
      <c r="D14" s="3"/>
      <c r="E14" s="4" t="s">
        <v>1</v>
      </c>
      <c r="F14" s="5"/>
      <c r="G14" s="6"/>
      <c r="H14" s="6"/>
      <c r="I14" s="7"/>
      <c r="J14" s="8"/>
      <c r="K14" s="1"/>
    </row>
    <row r="15" spans="2:13" ht="16" thickBot="1" x14ac:dyDescent="0.25">
      <c r="B15" s="1"/>
      <c r="C15" s="10" t="s">
        <v>15</v>
      </c>
      <c r="D15" s="11"/>
      <c r="E15" s="12"/>
      <c r="F15" s="11"/>
      <c r="G15" s="13"/>
      <c r="H15" s="8"/>
      <c r="I15" s="6"/>
      <c r="J15" s="6"/>
      <c r="K15" s="1"/>
    </row>
    <row r="16" spans="2:13" ht="22" thickBot="1" x14ac:dyDescent="0.35">
      <c r="B16" s="14"/>
      <c r="C16" s="15" t="s">
        <v>3</v>
      </c>
      <c r="D16" s="16" t="s">
        <v>16</v>
      </c>
      <c r="E16" s="17" t="s">
        <v>5</v>
      </c>
      <c r="F16" s="18"/>
      <c r="G16" s="19"/>
      <c r="H16" s="20"/>
      <c r="I16" s="21"/>
      <c r="J16" s="21"/>
      <c r="K16" s="22"/>
    </row>
    <row r="17" spans="2:13" ht="16" thickBot="1" x14ac:dyDescent="0.25">
      <c r="B17" s="23" t="s">
        <v>6</v>
      </c>
      <c r="C17" s="24" t="s">
        <v>7</v>
      </c>
      <c r="D17" s="25"/>
      <c r="E17" s="26" t="s">
        <v>8</v>
      </c>
      <c r="F17" s="23" t="s">
        <v>9</v>
      </c>
      <c r="G17" s="26"/>
      <c r="H17" s="23"/>
      <c r="I17" s="27"/>
      <c r="J17" s="28"/>
      <c r="K17" s="29" t="s">
        <v>10</v>
      </c>
    </row>
    <row r="18" spans="2:13" ht="17" x14ac:dyDescent="0.25">
      <c r="B18" s="30">
        <v>1</v>
      </c>
      <c r="C18" s="31" t="s">
        <v>17</v>
      </c>
      <c r="D18" s="57" t="s">
        <v>18</v>
      </c>
      <c r="E18" s="33" t="s">
        <v>19</v>
      </c>
      <c r="F18" s="34">
        <v>2485</v>
      </c>
      <c r="G18" s="35" t="s">
        <v>20</v>
      </c>
      <c r="H18" s="36">
        <v>5</v>
      </c>
      <c r="I18" s="37">
        <f>500*4+375</f>
        <v>2375</v>
      </c>
      <c r="J18" s="38">
        <v>7.08</v>
      </c>
      <c r="K18" s="39">
        <f t="shared" ref="K18:K62" si="1">I18*J18</f>
        <v>16815</v>
      </c>
      <c r="M18" s="40"/>
    </row>
    <row r="19" spans="2:13" ht="17" x14ac:dyDescent="0.25">
      <c r="B19" s="30">
        <v>2</v>
      </c>
      <c r="C19" s="31" t="s">
        <v>21</v>
      </c>
      <c r="D19" s="57" t="s">
        <v>18</v>
      </c>
      <c r="E19" s="33" t="s">
        <v>22</v>
      </c>
      <c r="F19" s="34">
        <v>2500</v>
      </c>
      <c r="G19" s="35" t="s">
        <v>20</v>
      </c>
      <c r="H19" s="36">
        <v>5</v>
      </c>
      <c r="I19" s="37">
        <f>500*4+375</f>
        <v>2375</v>
      </c>
      <c r="J19" s="38">
        <v>7.08</v>
      </c>
      <c r="K19" s="39">
        <f t="shared" si="1"/>
        <v>16815</v>
      </c>
      <c r="M19" s="40"/>
    </row>
    <row r="20" spans="2:13" ht="17" x14ac:dyDescent="0.25">
      <c r="B20" s="30">
        <v>3</v>
      </c>
      <c r="C20" s="31" t="s">
        <v>23</v>
      </c>
      <c r="D20" s="57" t="s">
        <v>18</v>
      </c>
      <c r="E20" s="33" t="s">
        <v>24</v>
      </c>
      <c r="F20" s="34">
        <v>2520</v>
      </c>
      <c r="G20" s="35" t="s">
        <v>25</v>
      </c>
      <c r="H20" s="36">
        <v>5</v>
      </c>
      <c r="I20" s="37">
        <f>500*4+370</f>
        <v>2370</v>
      </c>
      <c r="J20" s="38">
        <v>7.08</v>
      </c>
      <c r="K20" s="39">
        <f t="shared" si="1"/>
        <v>16779.599999999999</v>
      </c>
      <c r="M20" s="40"/>
    </row>
    <row r="21" spans="2:13" ht="17" x14ac:dyDescent="0.25">
      <c r="B21" s="30">
        <v>4</v>
      </c>
      <c r="C21" s="31" t="s">
        <v>26</v>
      </c>
      <c r="D21" s="57" t="s">
        <v>18</v>
      </c>
      <c r="E21" s="33" t="s">
        <v>27</v>
      </c>
      <c r="F21" s="34">
        <v>2470</v>
      </c>
      <c r="G21" s="35" t="s">
        <v>28</v>
      </c>
      <c r="H21" s="36">
        <v>5</v>
      </c>
      <c r="I21" s="37">
        <f>500*4+390</f>
        <v>2390</v>
      </c>
      <c r="J21" s="38">
        <v>7.08</v>
      </c>
      <c r="K21" s="39">
        <f t="shared" si="1"/>
        <v>16921.2</v>
      </c>
      <c r="M21" s="40"/>
    </row>
    <row r="22" spans="2:13" ht="17" x14ac:dyDescent="0.25">
      <c r="B22" s="30">
        <v>5</v>
      </c>
      <c r="C22" s="31" t="s">
        <v>29</v>
      </c>
      <c r="D22" s="57" t="s">
        <v>18</v>
      </c>
      <c r="E22" s="33" t="s">
        <v>30</v>
      </c>
      <c r="F22" s="34">
        <v>2500</v>
      </c>
      <c r="G22" s="35" t="s">
        <v>31</v>
      </c>
      <c r="H22" s="36">
        <v>5</v>
      </c>
      <c r="I22" s="37">
        <f>500*4+425</f>
        <v>2425</v>
      </c>
      <c r="J22" s="38">
        <v>7.08</v>
      </c>
      <c r="K22" s="39">
        <f t="shared" si="1"/>
        <v>17169</v>
      </c>
      <c r="M22" s="40"/>
    </row>
    <row r="23" spans="2:13" ht="17" x14ac:dyDescent="0.25">
      <c r="B23" s="30">
        <v>6</v>
      </c>
      <c r="C23" s="31" t="s">
        <v>32</v>
      </c>
      <c r="D23" s="57" t="s">
        <v>18</v>
      </c>
      <c r="E23" s="33" t="s">
        <v>33</v>
      </c>
      <c r="F23" s="34">
        <v>2530</v>
      </c>
      <c r="G23" s="35" t="s">
        <v>34</v>
      </c>
      <c r="H23" s="36">
        <v>5</v>
      </c>
      <c r="I23" s="37">
        <f>500*4+360</f>
        <v>2360</v>
      </c>
      <c r="J23" s="38">
        <v>7.08</v>
      </c>
      <c r="K23" s="39">
        <f t="shared" si="1"/>
        <v>16708.8</v>
      </c>
      <c r="M23" s="40"/>
    </row>
    <row r="24" spans="2:13" ht="17" x14ac:dyDescent="0.25">
      <c r="B24" s="30">
        <v>7</v>
      </c>
      <c r="C24" s="31" t="s">
        <v>35</v>
      </c>
      <c r="D24" s="57" t="s">
        <v>18</v>
      </c>
      <c r="E24" s="33" t="s">
        <v>36</v>
      </c>
      <c r="F24" s="34">
        <v>3035</v>
      </c>
      <c r="G24" s="35" t="s">
        <v>37</v>
      </c>
      <c r="H24" s="36">
        <v>6</v>
      </c>
      <c r="I24" s="37">
        <f>500*5+400</f>
        <v>2900</v>
      </c>
      <c r="J24" s="38">
        <v>7.08</v>
      </c>
      <c r="K24" s="39">
        <f t="shared" si="1"/>
        <v>20532</v>
      </c>
      <c r="M24" s="40"/>
    </row>
    <row r="25" spans="2:13" ht="17" x14ac:dyDescent="0.25">
      <c r="B25" s="30">
        <v>8</v>
      </c>
      <c r="C25" s="31" t="s">
        <v>38</v>
      </c>
      <c r="D25" s="57" t="s">
        <v>18</v>
      </c>
      <c r="E25" s="33" t="s">
        <v>39</v>
      </c>
      <c r="F25" s="34">
        <v>2475</v>
      </c>
      <c r="G25" s="35" t="s">
        <v>25</v>
      </c>
      <c r="H25" s="36">
        <v>5</v>
      </c>
      <c r="I25" s="37">
        <f>500*4+370</f>
        <v>2370</v>
      </c>
      <c r="J25" s="38">
        <v>7.08</v>
      </c>
      <c r="K25" s="39">
        <f t="shared" si="1"/>
        <v>16779.599999999999</v>
      </c>
      <c r="M25" s="40"/>
    </row>
    <row r="26" spans="2:13" ht="17" x14ac:dyDescent="0.25">
      <c r="B26" s="30">
        <v>9</v>
      </c>
      <c r="C26" s="31" t="s">
        <v>40</v>
      </c>
      <c r="D26" s="57" t="s">
        <v>18</v>
      </c>
      <c r="E26" s="33" t="s">
        <v>41</v>
      </c>
      <c r="F26" s="34">
        <v>2500</v>
      </c>
      <c r="G26" s="35" t="s">
        <v>42</v>
      </c>
      <c r="H26" s="36">
        <v>5</v>
      </c>
      <c r="I26" s="37">
        <f>500*4+320</f>
        <v>2320</v>
      </c>
      <c r="J26" s="38">
        <v>7.08</v>
      </c>
      <c r="K26" s="39">
        <f t="shared" si="1"/>
        <v>16425.599999999999</v>
      </c>
      <c r="M26" s="40"/>
    </row>
    <row r="27" spans="2:13" ht="17" x14ac:dyDescent="0.25">
      <c r="B27" s="30">
        <v>10</v>
      </c>
      <c r="C27" s="31" t="s">
        <v>43</v>
      </c>
      <c r="D27" s="57" t="s">
        <v>12</v>
      </c>
      <c r="E27" s="33" t="s">
        <v>44</v>
      </c>
      <c r="F27" s="34">
        <v>3500</v>
      </c>
      <c r="G27" s="35" t="s">
        <v>45</v>
      </c>
      <c r="H27" s="36">
        <v>7</v>
      </c>
      <c r="I27" s="37">
        <f>500*6+400</f>
        <v>3400</v>
      </c>
      <c r="J27" s="38">
        <v>6.72</v>
      </c>
      <c r="K27" s="39">
        <f t="shared" si="1"/>
        <v>22848</v>
      </c>
      <c r="M27" s="40"/>
    </row>
    <row r="28" spans="2:13" ht="17" x14ac:dyDescent="0.25">
      <c r="B28" s="30">
        <v>11</v>
      </c>
      <c r="C28" s="31" t="s">
        <v>46</v>
      </c>
      <c r="D28" s="57" t="s">
        <v>12</v>
      </c>
      <c r="E28" s="33" t="s">
        <v>47</v>
      </c>
      <c r="F28" s="34">
        <v>2500</v>
      </c>
      <c r="G28" s="35" t="s">
        <v>48</v>
      </c>
      <c r="H28" s="36">
        <v>5</v>
      </c>
      <c r="I28" s="37">
        <f>500*4+495</f>
        <v>2495</v>
      </c>
      <c r="J28" s="38">
        <v>6.72</v>
      </c>
      <c r="K28" s="39">
        <f t="shared" si="1"/>
        <v>16766.399999999998</v>
      </c>
      <c r="M28" s="40"/>
    </row>
    <row r="29" spans="2:13" ht="17" x14ac:dyDescent="0.25">
      <c r="B29" s="30">
        <v>12</v>
      </c>
      <c r="C29" s="31" t="s">
        <v>49</v>
      </c>
      <c r="D29" s="57" t="s">
        <v>12</v>
      </c>
      <c r="E29" s="33" t="s">
        <v>50</v>
      </c>
      <c r="F29" s="34">
        <v>2550</v>
      </c>
      <c r="G29" s="35" t="s">
        <v>51</v>
      </c>
      <c r="H29" s="36">
        <v>5</v>
      </c>
      <c r="I29" s="37">
        <f>500*4+435</f>
        <v>2435</v>
      </c>
      <c r="J29" s="38">
        <v>6.72</v>
      </c>
      <c r="K29" s="39">
        <f t="shared" si="1"/>
        <v>16363.199999999999</v>
      </c>
      <c r="M29" s="40"/>
    </row>
    <row r="30" spans="2:13" ht="17" x14ac:dyDescent="0.25">
      <c r="B30" s="30">
        <v>13</v>
      </c>
      <c r="C30" s="31" t="s">
        <v>52</v>
      </c>
      <c r="D30" s="57" t="s">
        <v>53</v>
      </c>
      <c r="E30" s="33" t="s">
        <v>54</v>
      </c>
      <c r="F30" s="34">
        <v>3970</v>
      </c>
      <c r="G30" s="35" t="s">
        <v>55</v>
      </c>
      <c r="H30" s="36">
        <v>8</v>
      </c>
      <c r="I30" s="37">
        <f>500*7+295</f>
        <v>3795</v>
      </c>
      <c r="J30" s="38">
        <v>10.25</v>
      </c>
      <c r="K30" s="39">
        <f t="shared" si="1"/>
        <v>38898.75</v>
      </c>
      <c r="M30" s="40"/>
    </row>
    <row r="31" spans="2:13" ht="17" x14ac:dyDescent="0.25">
      <c r="B31" s="30">
        <v>14</v>
      </c>
      <c r="C31" s="31" t="s">
        <v>56</v>
      </c>
      <c r="D31" s="57" t="s">
        <v>53</v>
      </c>
      <c r="E31" s="33" t="s">
        <v>57</v>
      </c>
      <c r="F31" s="34">
        <v>3980</v>
      </c>
      <c r="G31" s="35" t="s">
        <v>58</v>
      </c>
      <c r="H31" s="36">
        <v>8</v>
      </c>
      <c r="I31" s="37">
        <f>500*7+285</f>
        <v>3785</v>
      </c>
      <c r="J31" s="38">
        <v>10.25</v>
      </c>
      <c r="K31" s="39">
        <f t="shared" si="1"/>
        <v>38796.25</v>
      </c>
      <c r="M31" s="40"/>
    </row>
    <row r="32" spans="2:13" ht="17" x14ac:dyDescent="0.25">
      <c r="B32" s="30">
        <v>15</v>
      </c>
      <c r="C32" s="31" t="s">
        <v>59</v>
      </c>
      <c r="D32" s="57" t="s">
        <v>60</v>
      </c>
      <c r="E32" s="33" t="s">
        <v>36</v>
      </c>
      <c r="F32" s="34">
        <v>4000</v>
      </c>
      <c r="G32" s="35" t="s">
        <v>61</v>
      </c>
      <c r="H32" s="36">
        <v>8</v>
      </c>
      <c r="I32" s="37">
        <f>500*7+300</f>
        <v>3800</v>
      </c>
      <c r="J32" s="38">
        <v>6.85</v>
      </c>
      <c r="K32" s="39">
        <f t="shared" si="1"/>
        <v>26030</v>
      </c>
      <c r="M32" s="40"/>
    </row>
    <row r="33" spans="2:13" ht="17" x14ac:dyDescent="0.25">
      <c r="B33" s="30">
        <v>16</v>
      </c>
      <c r="C33" s="31" t="s">
        <v>62</v>
      </c>
      <c r="D33" s="57" t="s">
        <v>63</v>
      </c>
      <c r="E33" s="33" t="s">
        <v>64</v>
      </c>
      <c r="F33" s="34">
        <v>4000</v>
      </c>
      <c r="G33" s="35" t="s">
        <v>65</v>
      </c>
      <c r="H33" s="36">
        <v>8</v>
      </c>
      <c r="I33" s="37">
        <f>500*7+420</f>
        <v>3920</v>
      </c>
      <c r="J33" s="38">
        <v>7</v>
      </c>
      <c r="K33" s="39">
        <f t="shared" si="1"/>
        <v>27440</v>
      </c>
      <c r="M33" s="40"/>
    </row>
    <row r="34" spans="2:13" ht="17" x14ac:dyDescent="0.25">
      <c r="B34" s="30">
        <v>17</v>
      </c>
      <c r="C34" s="31" t="s">
        <v>66</v>
      </c>
      <c r="D34" s="57" t="s">
        <v>67</v>
      </c>
      <c r="E34" s="33" t="s">
        <v>68</v>
      </c>
      <c r="F34" s="34">
        <v>3470</v>
      </c>
      <c r="G34" s="35" t="s">
        <v>69</v>
      </c>
      <c r="H34" s="36">
        <v>7</v>
      </c>
      <c r="I34" s="37">
        <f>500*6+430</f>
        <v>3430</v>
      </c>
      <c r="J34" s="38">
        <v>7.14</v>
      </c>
      <c r="K34" s="39">
        <f t="shared" si="1"/>
        <v>24490.199999999997</v>
      </c>
      <c r="M34" s="40"/>
    </row>
    <row r="35" spans="2:13" ht="17" x14ac:dyDescent="0.25">
      <c r="B35" s="30">
        <v>18</v>
      </c>
      <c r="C35" s="31" t="s">
        <v>70</v>
      </c>
      <c r="D35" s="57" t="s">
        <v>67</v>
      </c>
      <c r="E35" s="33" t="s">
        <v>71</v>
      </c>
      <c r="F35" s="34">
        <v>3485</v>
      </c>
      <c r="G35" s="35" t="s">
        <v>72</v>
      </c>
      <c r="H35" s="36">
        <v>7</v>
      </c>
      <c r="I35" s="37">
        <f>500*6+455</f>
        <v>3455</v>
      </c>
      <c r="J35" s="38">
        <v>7.14</v>
      </c>
      <c r="K35" s="39">
        <f t="shared" si="1"/>
        <v>24668.699999999997</v>
      </c>
      <c r="M35" s="40"/>
    </row>
    <row r="36" spans="2:13" ht="17" x14ac:dyDescent="0.25">
      <c r="B36" s="30">
        <v>19</v>
      </c>
      <c r="C36" s="31" t="s">
        <v>73</v>
      </c>
      <c r="D36" s="57" t="s">
        <v>63</v>
      </c>
      <c r="E36" s="33" t="s">
        <v>44</v>
      </c>
      <c r="F36" s="34">
        <v>3500</v>
      </c>
      <c r="G36" s="35" t="s">
        <v>74</v>
      </c>
      <c r="H36" s="36">
        <v>7</v>
      </c>
      <c r="I36" s="37">
        <f>500*5+545+470</f>
        <v>3515</v>
      </c>
      <c r="J36" s="38">
        <v>7</v>
      </c>
      <c r="K36" s="39">
        <f t="shared" si="1"/>
        <v>24605</v>
      </c>
      <c r="M36" s="40"/>
    </row>
    <row r="37" spans="2:13" ht="17" x14ac:dyDescent="0.25">
      <c r="B37" s="30">
        <v>20</v>
      </c>
      <c r="C37" s="31" t="s">
        <v>75</v>
      </c>
      <c r="D37" s="57" t="s">
        <v>63</v>
      </c>
      <c r="E37" s="33" t="s">
        <v>41</v>
      </c>
      <c r="F37" s="34">
        <v>3000</v>
      </c>
      <c r="G37" s="35" t="s">
        <v>76</v>
      </c>
      <c r="H37" s="36">
        <v>6</v>
      </c>
      <c r="I37" s="37">
        <f>500*5+565</f>
        <v>3065</v>
      </c>
      <c r="J37" s="38">
        <v>7</v>
      </c>
      <c r="K37" s="39">
        <f t="shared" si="1"/>
        <v>21455</v>
      </c>
      <c r="M37" s="40"/>
    </row>
    <row r="38" spans="2:13" ht="17" x14ac:dyDescent="0.25">
      <c r="B38" s="30">
        <v>21</v>
      </c>
      <c r="C38" s="31" t="s">
        <v>77</v>
      </c>
      <c r="D38" s="57" t="s">
        <v>18</v>
      </c>
      <c r="E38" s="33" t="s">
        <v>54</v>
      </c>
      <c r="F38" s="34">
        <v>6000</v>
      </c>
      <c r="G38" s="35" t="s">
        <v>78</v>
      </c>
      <c r="H38" s="36">
        <v>13</v>
      </c>
      <c r="I38" s="37">
        <f>500*11+570+400</f>
        <v>6470</v>
      </c>
      <c r="J38" s="38">
        <v>7.08</v>
      </c>
      <c r="K38" s="39">
        <f t="shared" si="1"/>
        <v>45807.6</v>
      </c>
      <c r="M38" s="40"/>
    </row>
    <row r="39" spans="2:13" ht="17" x14ac:dyDescent="0.25">
      <c r="B39" s="30">
        <v>22</v>
      </c>
      <c r="C39" s="31" t="s">
        <v>79</v>
      </c>
      <c r="D39" s="57" t="s">
        <v>18</v>
      </c>
      <c r="E39" s="33" t="s">
        <v>80</v>
      </c>
      <c r="F39" s="34">
        <v>6000</v>
      </c>
      <c r="G39" s="35" t="s">
        <v>81</v>
      </c>
      <c r="H39" s="36">
        <v>13</v>
      </c>
      <c r="I39" s="37">
        <f>500*12+540</f>
        <v>6540</v>
      </c>
      <c r="J39" s="38">
        <v>7.08</v>
      </c>
      <c r="K39" s="39">
        <f t="shared" si="1"/>
        <v>46303.199999999997</v>
      </c>
      <c r="M39" s="40"/>
    </row>
    <row r="40" spans="2:13" ht="17" x14ac:dyDescent="0.25">
      <c r="B40" s="30">
        <v>23</v>
      </c>
      <c r="C40" s="31" t="s">
        <v>11</v>
      </c>
      <c r="D40" s="57" t="s">
        <v>12</v>
      </c>
      <c r="E40" s="33" t="s">
        <v>82</v>
      </c>
      <c r="F40" s="34">
        <v>3500</v>
      </c>
      <c r="G40" s="35" t="s">
        <v>83</v>
      </c>
      <c r="H40" s="36">
        <v>7</v>
      </c>
      <c r="I40" s="37">
        <f>500*5+490+420</f>
        <v>3410</v>
      </c>
      <c r="J40" s="38">
        <v>6.72</v>
      </c>
      <c r="K40" s="39">
        <f t="shared" si="1"/>
        <v>22915.200000000001</v>
      </c>
      <c r="M40" s="40"/>
    </row>
    <row r="41" spans="2:13" ht="34" x14ac:dyDescent="0.25">
      <c r="B41" s="30">
        <v>24</v>
      </c>
      <c r="C41" s="31" t="s">
        <v>84</v>
      </c>
      <c r="D41" s="57" t="s">
        <v>12</v>
      </c>
      <c r="E41" s="33" t="s">
        <v>85</v>
      </c>
      <c r="F41" s="34">
        <v>30000</v>
      </c>
      <c r="G41" s="35" t="s">
        <v>86</v>
      </c>
      <c r="H41" s="36">
        <v>60</v>
      </c>
      <c r="I41" s="37">
        <f>500*56+650+635+600+560</f>
        <v>30445</v>
      </c>
      <c r="J41" s="38">
        <v>6.72</v>
      </c>
      <c r="K41" s="39">
        <f t="shared" si="1"/>
        <v>204590.4</v>
      </c>
      <c r="M41" s="40"/>
    </row>
    <row r="42" spans="2:13" ht="51" x14ac:dyDescent="0.25">
      <c r="B42" s="30">
        <v>25</v>
      </c>
      <c r="C42" s="31" t="s">
        <v>87</v>
      </c>
      <c r="D42" s="57" t="s">
        <v>12</v>
      </c>
      <c r="E42" s="33" t="s">
        <v>64</v>
      </c>
      <c r="F42" s="34">
        <v>16000</v>
      </c>
      <c r="G42" s="35" t="s">
        <v>88</v>
      </c>
      <c r="H42" s="36">
        <v>34</v>
      </c>
      <c r="I42" s="37">
        <f>500*27+530+525+485+465+458+420+330</f>
        <v>16713</v>
      </c>
      <c r="J42" s="38">
        <v>6.72</v>
      </c>
      <c r="K42" s="39">
        <f t="shared" si="1"/>
        <v>112311.36</v>
      </c>
      <c r="M42" s="40"/>
    </row>
    <row r="43" spans="2:13" ht="17" x14ac:dyDescent="0.25">
      <c r="B43" s="30">
        <v>26</v>
      </c>
      <c r="C43" s="31" t="s">
        <v>89</v>
      </c>
      <c r="D43" s="57" t="s">
        <v>90</v>
      </c>
      <c r="E43" s="33" t="s">
        <v>19</v>
      </c>
      <c r="F43" s="34">
        <v>6000</v>
      </c>
      <c r="G43" s="35" t="s">
        <v>91</v>
      </c>
      <c r="H43" s="36">
        <v>12</v>
      </c>
      <c r="I43" s="37">
        <f>500*11+620</f>
        <v>6120</v>
      </c>
      <c r="J43" s="38">
        <v>6.95</v>
      </c>
      <c r="K43" s="39">
        <f t="shared" si="1"/>
        <v>42534</v>
      </c>
      <c r="M43" s="40"/>
    </row>
    <row r="44" spans="2:13" ht="34" x14ac:dyDescent="0.25">
      <c r="B44" s="30">
        <v>27</v>
      </c>
      <c r="C44" s="31" t="s">
        <v>92</v>
      </c>
      <c r="D44" s="57" t="s">
        <v>90</v>
      </c>
      <c r="E44" s="33" t="s">
        <v>30</v>
      </c>
      <c r="F44" s="34">
        <v>11000</v>
      </c>
      <c r="G44" s="35" t="s">
        <v>93</v>
      </c>
      <c r="H44" s="36">
        <v>22</v>
      </c>
      <c r="I44" s="37">
        <f>500*19+550+520+490</f>
        <v>11060</v>
      </c>
      <c r="J44" s="38">
        <v>6.95</v>
      </c>
      <c r="K44" s="39">
        <f t="shared" si="1"/>
        <v>76867</v>
      </c>
      <c r="M44" s="40"/>
    </row>
    <row r="45" spans="2:13" ht="34" x14ac:dyDescent="0.25">
      <c r="B45" s="30">
        <v>28</v>
      </c>
      <c r="C45" s="31" t="s">
        <v>94</v>
      </c>
      <c r="D45" s="57" t="s">
        <v>90</v>
      </c>
      <c r="E45" s="33" t="s">
        <v>33</v>
      </c>
      <c r="F45" s="34">
        <v>11000</v>
      </c>
      <c r="G45" s="35" t="s">
        <v>95</v>
      </c>
      <c r="H45" s="36">
        <v>22</v>
      </c>
      <c r="I45" s="37">
        <f>500*19+625+575+515</f>
        <v>11215</v>
      </c>
      <c r="J45" s="38">
        <v>6.95</v>
      </c>
      <c r="K45" s="39">
        <f t="shared" si="1"/>
        <v>77944.25</v>
      </c>
      <c r="M45" s="40"/>
    </row>
    <row r="46" spans="2:13" ht="34" x14ac:dyDescent="0.25">
      <c r="B46" s="30">
        <v>29</v>
      </c>
      <c r="C46" s="31" t="s">
        <v>96</v>
      </c>
      <c r="D46" s="57" t="s">
        <v>90</v>
      </c>
      <c r="E46" s="33" t="s">
        <v>24</v>
      </c>
      <c r="F46" s="34">
        <v>12000</v>
      </c>
      <c r="G46" s="35" t="s">
        <v>97</v>
      </c>
      <c r="H46" s="36">
        <v>25</v>
      </c>
      <c r="I46" s="37">
        <f>500*22+590+580+445</f>
        <v>12615</v>
      </c>
      <c r="J46" s="38">
        <v>6.95</v>
      </c>
      <c r="K46" s="39">
        <f t="shared" si="1"/>
        <v>87674.25</v>
      </c>
      <c r="M46" s="40"/>
    </row>
    <row r="47" spans="2:13" ht="34" x14ac:dyDescent="0.25">
      <c r="B47" s="30">
        <v>30</v>
      </c>
      <c r="C47" s="31" t="s">
        <v>98</v>
      </c>
      <c r="D47" s="57" t="s">
        <v>90</v>
      </c>
      <c r="E47" s="33" t="s">
        <v>22</v>
      </c>
      <c r="F47" s="34">
        <v>11000</v>
      </c>
      <c r="G47" s="35" t="s">
        <v>99</v>
      </c>
      <c r="H47" s="36">
        <v>22</v>
      </c>
      <c r="I47" s="37">
        <f>500*19+595+590+520</f>
        <v>11205</v>
      </c>
      <c r="J47" s="38">
        <v>6.95</v>
      </c>
      <c r="K47" s="39">
        <f t="shared" si="1"/>
        <v>77874.75</v>
      </c>
      <c r="M47" s="40"/>
    </row>
    <row r="48" spans="2:13" ht="17" x14ac:dyDescent="0.25">
      <c r="B48" s="30">
        <v>31</v>
      </c>
      <c r="C48" s="31" t="s">
        <v>100</v>
      </c>
      <c r="D48" s="57" t="s">
        <v>90</v>
      </c>
      <c r="E48" s="33" t="s">
        <v>85</v>
      </c>
      <c r="F48" s="34">
        <v>4060</v>
      </c>
      <c r="G48" s="35" t="s">
        <v>101</v>
      </c>
      <c r="H48" s="36">
        <v>8</v>
      </c>
      <c r="I48" s="37">
        <f>500*7+460</f>
        <v>3960</v>
      </c>
      <c r="J48" s="38">
        <v>6.95</v>
      </c>
      <c r="K48" s="39">
        <f t="shared" si="1"/>
        <v>27522</v>
      </c>
      <c r="M48" s="40"/>
    </row>
    <row r="49" spans="2:13" ht="17" x14ac:dyDescent="0.25">
      <c r="B49" s="30">
        <v>32</v>
      </c>
      <c r="C49" s="31" t="s">
        <v>102</v>
      </c>
      <c r="D49" s="57" t="s">
        <v>90</v>
      </c>
      <c r="E49" s="33" t="s">
        <v>36</v>
      </c>
      <c r="F49" s="34">
        <v>5500</v>
      </c>
      <c r="G49" s="35" t="s">
        <v>103</v>
      </c>
      <c r="H49" s="36">
        <v>11</v>
      </c>
      <c r="I49" s="37">
        <f>500*10+355</f>
        <v>5355</v>
      </c>
      <c r="J49" s="38">
        <v>6.95</v>
      </c>
      <c r="K49" s="39">
        <f t="shared" si="1"/>
        <v>37217.25</v>
      </c>
      <c r="M49" s="40"/>
    </row>
    <row r="50" spans="2:13" ht="17" x14ac:dyDescent="0.25">
      <c r="B50" s="30">
        <v>33</v>
      </c>
      <c r="C50" s="31" t="s">
        <v>104</v>
      </c>
      <c r="D50" s="57" t="s">
        <v>90</v>
      </c>
      <c r="E50" s="33" t="s">
        <v>105</v>
      </c>
      <c r="F50" s="34">
        <v>5500</v>
      </c>
      <c r="G50" s="35" t="s">
        <v>106</v>
      </c>
      <c r="H50" s="36">
        <v>11</v>
      </c>
      <c r="I50" s="37">
        <f>500*10+330</f>
        <v>5330</v>
      </c>
      <c r="J50" s="38">
        <v>6.95</v>
      </c>
      <c r="K50" s="39">
        <f t="shared" si="1"/>
        <v>37043.5</v>
      </c>
      <c r="M50" s="40"/>
    </row>
    <row r="51" spans="2:13" ht="17" x14ac:dyDescent="0.25">
      <c r="B51" s="30">
        <v>34</v>
      </c>
      <c r="C51" s="31" t="s">
        <v>107</v>
      </c>
      <c r="D51" s="57" t="s">
        <v>90</v>
      </c>
      <c r="E51" s="33" t="s">
        <v>108</v>
      </c>
      <c r="F51" s="34">
        <v>5500</v>
      </c>
      <c r="G51" s="35" t="s">
        <v>109</v>
      </c>
      <c r="H51" s="36">
        <v>11</v>
      </c>
      <c r="I51" s="37">
        <f>500*10+315</f>
        <v>5315</v>
      </c>
      <c r="J51" s="38">
        <v>6.95</v>
      </c>
      <c r="K51" s="39">
        <f t="shared" si="1"/>
        <v>36939.25</v>
      </c>
      <c r="M51" s="40"/>
    </row>
    <row r="52" spans="2:13" ht="17" x14ac:dyDescent="0.25">
      <c r="B52" s="30">
        <v>35</v>
      </c>
      <c r="C52" s="31" t="s">
        <v>110</v>
      </c>
      <c r="D52" s="57" t="s">
        <v>90</v>
      </c>
      <c r="E52" s="33" t="s">
        <v>44</v>
      </c>
      <c r="F52" s="34">
        <v>3000</v>
      </c>
      <c r="G52" s="35" t="s">
        <v>111</v>
      </c>
      <c r="H52" s="36">
        <v>6</v>
      </c>
      <c r="I52" s="37">
        <f>500*5+470</f>
        <v>2970</v>
      </c>
      <c r="J52" s="38">
        <v>6.95</v>
      </c>
      <c r="K52" s="39">
        <f t="shared" si="1"/>
        <v>20641.5</v>
      </c>
      <c r="M52" s="40"/>
    </row>
    <row r="53" spans="2:13" ht="17" x14ac:dyDescent="0.25">
      <c r="B53" s="30">
        <v>36</v>
      </c>
      <c r="C53" s="31" t="s">
        <v>112</v>
      </c>
      <c r="D53" s="57" t="s">
        <v>90</v>
      </c>
      <c r="E53" s="33" t="s">
        <v>113</v>
      </c>
      <c r="F53" s="34">
        <v>3000</v>
      </c>
      <c r="G53" s="35" t="s">
        <v>114</v>
      </c>
      <c r="H53" s="36">
        <v>6</v>
      </c>
      <c r="I53" s="37">
        <f>500*6</f>
        <v>3000</v>
      </c>
      <c r="J53" s="38">
        <v>6.95</v>
      </c>
      <c r="K53" s="39">
        <f t="shared" si="1"/>
        <v>20850</v>
      </c>
      <c r="M53" s="40"/>
    </row>
    <row r="54" spans="2:13" ht="17" x14ac:dyDescent="0.25">
      <c r="B54" s="30">
        <v>37</v>
      </c>
      <c r="C54" s="31" t="s">
        <v>115</v>
      </c>
      <c r="D54" s="57" t="s">
        <v>90</v>
      </c>
      <c r="E54" s="33" t="s">
        <v>116</v>
      </c>
      <c r="F54" s="34">
        <v>4000</v>
      </c>
      <c r="G54" s="35" t="s">
        <v>117</v>
      </c>
      <c r="H54" s="36">
        <v>8</v>
      </c>
      <c r="I54" s="37">
        <f>500*7+550</f>
        <v>4050</v>
      </c>
      <c r="J54" s="38">
        <v>6.95</v>
      </c>
      <c r="K54" s="39">
        <f t="shared" si="1"/>
        <v>28147.5</v>
      </c>
      <c r="M54" s="40"/>
    </row>
    <row r="55" spans="2:13" ht="17" x14ac:dyDescent="0.25">
      <c r="B55" s="30">
        <v>38</v>
      </c>
      <c r="C55" s="31" t="s">
        <v>118</v>
      </c>
      <c r="D55" s="57" t="s">
        <v>12</v>
      </c>
      <c r="E55" s="33" t="s">
        <v>22</v>
      </c>
      <c r="F55" s="34">
        <v>4000</v>
      </c>
      <c r="G55" s="35" t="s">
        <v>119</v>
      </c>
      <c r="H55" s="36">
        <v>8</v>
      </c>
      <c r="I55" s="37">
        <f>500*7+540</f>
        <v>4040</v>
      </c>
      <c r="J55" s="38">
        <v>6.72</v>
      </c>
      <c r="K55" s="39">
        <f t="shared" si="1"/>
        <v>27148.799999999999</v>
      </c>
      <c r="M55" s="40"/>
    </row>
    <row r="56" spans="2:13" ht="17" x14ac:dyDescent="0.25">
      <c r="B56" s="30">
        <v>39</v>
      </c>
      <c r="C56" s="31" t="s">
        <v>120</v>
      </c>
      <c r="D56" s="57" t="s">
        <v>12</v>
      </c>
      <c r="E56" s="33" t="s">
        <v>36</v>
      </c>
      <c r="F56" s="34">
        <v>9000</v>
      </c>
      <c r="G56" s="35" t="s">
        <v>121</v>
      </c>
      <c r="H56" s="36">
        <v>18</v>
      </c>
      <c r="I56" s="37">
        <f>500*16+560+455</f>
        <v>9015</v>
      </c>
      <c r="J56" s="38">
        <v>6.72</v>
      </c>
      <c r="K56" s="39">
        <f t="shared" si="1"/>
        <v>60580.799999999996</v>
      </c>
      <c r="M56" s="40"/>
    </row>
    <row r="57" spans="2:13" ht="17" x14ac:dyDescent="0.25">
      <c r="B57" s="30">
        <v>40</v>
      </c>
      <c r="C57" s="31" t="s">
        <v>122</v>
      </c>
      <c r="D57" s="57" t="s">
        <v>12</v>
      </c>
      <c r="E57" s="33" t="s">
        <v>36</v>
      </c>
      <c r="F57" s="34">
        <v>4000</v>
      </c>
      <c r="G57" s="35" t="s">
        <v>123</v>
      </c>
      <c r="H57" s="36">
        <v>8</v>
      </c>
      <c r="I57" s="37">
        <f>500*7+555</f>
        <v>4055</v>
      </c>
      <c r="J57" s="38">
        <v>7.1</v>
      </c>
      <c r="K57" s="39">
        <f t="shared" si="1"/>
        <v>28790.5</v>
      </c>
      <c r="M57" s="40"/>
    </row>
    <row r="58" spans="2:13" ht="17" x14ac:dyDescent="0.25">
      <c r="B58" s="30">
        <v>41</v>
      </c>
      <c r="C58" s="31" t="s">
        <v>124</v>
      </c>
      <c r="D58" s="57" t="s">
        <v>12</v>
      </c>
      <c r="E58" s="33" t="s">
        <v>125</v>
      </c>
      <c r="F58" s="34">
        <v>3500</v>
      </c>
      <c r="G58" s="35" t="s">
        <v>126</v>
      </c>
      <c r="H58" s="36">
        <v>7</v>
      </c>
      <c r="I58" s="37">
        <f>500*5+455+430</f>
        <v>3385</v>
      </c>
      <c r="J58" s="38">
        <v>7.1</v>
      </c>
      <c r="K58" s="39">
        <f t="shared" si="1"/>
        <v>24033.5</v>
      </c>
      <c r="M58" s="40"/>
    </row>
    <row r="59" spans="2:13" ht="17" x14ac:dyDescent="0.25">
      <c r="B59" s="30">
        <v>42</v>
      </c>
      <c r="C59" s="31" t="s">
        <v>127</v>
      </c>
      <c r="D59" s="57" t="s">
        <v>12</v>
      </c>
      <c r="E59" s="33" t="s">
        <v>44</v>
      </c>
      <c r="F59" s="34">
        <v>4000</v>
      </c>
      <c r="G59" s="35" t="s">
        <v>128</v>
      </c>
      <c r="H59" s="36">
        <v>8</v>
      </c>
      <c r="I59" s="37">
        <f>500*7+350</f>
        <v>3850</v>
      </c>
      <c r="J59" s="38">
        <v>7.1</v>
      </c>
      <c r="K59" s="39">
        <f t="shared" si="1"/>
        <v>27335</v>
      </c>
      <c r="M59" s="40"/>
    </row>
    <row r="60" spans="2:13" ht="17" x14ac:dyDescent="0.25">
      <c r="B60" s="30">
        <v>43</v>
      </c>
      <c r="C60" s="31" t="s">
        <v>129</v>
      </c>
      <c r="D60" s="57" t="s">
        <v>12</v>
      </c>
      <c r="E60" s="33" t="s">
        <v>130</v>
      </c>
      <c r="F60" s="34">
        <v>4000</v>
      </c>
      <c r="G60" s="35" t="s">
        <v>131</v>
      </c>
      <c r="H60" s="36">
        <v>8</v>
      </c>
      <c r="I60" s="37">
        <f>500*7+400</f>
        <v>3900</v>
      </c>
      <c r="J60" s="38">
        <v>7.1</v>
      </c>
      <c r="K60" s="39">
        <f t="shared" si="1"/>
        <v>27690</v>
      </c>
      <c r="M60" s="40"/>
    </row>
    <row r="61" spans="2:13" ht="17" x14ac:dyDescent="0.25">
      <c r="B61" s="30">
        <v>44</v>
      </c>
      <c r="C61" s="31" t="s">
        <v>132</v>
      </c>
      <c r="D61" s="57" t="s">
        <v>60</v>
      </c>
      <c r="E61" s="33" t="s">
        <v>133</v>
      </c>
      <c r="F61" s="34">
        <v>4000</v>
      </c>
      <c r="G61" s="35" t="s">
        <v>134</v>
      </c>
      <c r="H61" s="36">
        <v>8</v>
      </c>
      <c r="I61" s="37">
        <f>500*6+565+390</f>
        <v>3955</v>
      </c>
      <c r="J61" s="38">
        <v>6.85</v>
      </c>
      <c r="K61" s="39">
        <f t="shared" si="1"/>
        <v>27091.75</v>
      </c>
      <c r="M61" s="40"/>
    </row>
    <row r="62" spans="2:13" ht="18" thickBot="1" x14ac:dyDescent="0.3">
      <c r="B62" s="30">
        <v>45</v>
      </c>
      <c r="C62" s="31" t="s">
        <v>135</v>
      </c>
      <c r="D62" s="57" t="s">
        <v>136</v>
      </c>
      <c r="E62" s="33" t="s">
        <v>137</v>
      </c>
      <c r="F62" s="34">
        <v>4000</v>
      </c>
      <c r="G62" s="35" t="s">
        <v>61</v>
      </c>
      <c r="H62" s="36">
        <v>8</v>
      </c>
      <c r="I62" s="37">
        <f>500*7+300</f>
        <v>3800</v>
      </c>
      <c r="J62" s="38">
        <v>16.57</v>
      </c>
      <c r="K62" s="39">
        <f t="shared" si="1"/>
        <v>62966</v>
      </c>
      <c r="M62" s="40"/>
    </row>
    <row r="63" spans="2:13" ht="17" thickBot="1" x14ac:dyDescent="0.3">
      <c r="B63" s="41"/>
      <c r="C63" s="42"/>
      <c r="D63" s="43"/>
      <c r="E63" s="44"/>
      <c r="F63" s="45">
        <f>SUM(F18:F62)</f>
        <v>240530</v>
      </c>
      <c r="G63" s="46"/>
      <c r="H63" s="45">
        <f>SUM(H18:H62)</f>
        <v>486</v>
      </c>
      <c r="I63" s="45">
        <f>SUM(I18:I62)</f>
        <v>240753</v>
      </c>
      <c r="J63" s="45"/>
      <c r="K63" s="47">
        <f>SUM(K18:K62)</f>
        <v>1726126.6600000001</v>
      </c>
    </row>
    <row r="64" spans="2:13" ht="17" thickBot="1" x14ac:dyDescent="0.3">
      <c r="B64" s="48"/>
      <c r="C64" s="49"/>
      <c r="D64" s="50"/>
      <c r="E64" s="49"/>
      <c r="F64" s="51"/>
      <c r="G64" s="52"/>
      <c r="H64" s="53"/>
      <c r="I64" s="52"/>
      <c r="J64" s="54">
        <v>0.18</v>
      </c>
      <c r="K64" s="55">
        <f>+K63*0.18</f>
        <v>310702.79879999999</v>
      </c>
    </row>
    <row r="65" spans="2:11" ht="17" thickBot="1" x14ac:dyDescent="0.3">
      <c r="J65" s="48"/>
      <c r="K65" s="56">
        <f>+K63+K64</f>
        <v>2036829.4588000001</v>
      </c>
    </row>
    <row r="66" spans="2:11" x14ac:dyDescent="0.2">
      <c r="F66" s="40"/>
      <c r="H66" s="40"/>
      <c r="I66" s="40"/>
    </row>
    <row r="67" spans="2:11" x14ac:dyDescent="0.2">
      <c r="B67" s="1"/>
      <c r="C67" s="2" t="s">
        <v>0</v>
      </c>
      <c r="D67" s="3"/>
      <c r="E67" s="4" t="s">
        <v>1</v>
      </c>
      <c r="F67" s="5"/>
      <c r="G67" s="6"/>
      <c r="H67" s="6"/>
      <c r="I67" s="7"/>
      <c r="J67" s="8"/>
      <c r="K67" s="1"/>
    </row>
    <row r="68" spans="2:11" ht="16" thickBot="1" x14ac:dyDescent="0.25">
      <c r="B68" s="1"/>
      <c r="C68" s="10" t="s">
        <v>138</v>
      </c>
      <c r="D68" s="11"/>
      <c r="E68" s="12"/>
      <c r="F68" s="11"/>
      <c r="G68" s="13"/>
      <c r="H68" s="8"/>
      <c r="I68" s="6"/>
      <c r="J68" s="6"/>
      <c r="K68" s="1"/>
    </row>
    <row r="69" spans="2:11" ht="22" thickBot="1" x14ac:dyDescent="0.35">
      <c r="B69" s="14"/>
      <c r="C69" s="15" t="s">
        <v>3</v>
      </c>
      <c r="D69" s="16" t="s">
        <v>139</v>
      </c>
      <c r="E69" s="17" t="s">
        <v>5</v>
      </c>
      <c r="F69" s="18"/>
      <c r="G69" s="19"/>
      <c r="H69" s="20"/>
      <c r="I69" s="21"/>
      <c r="J69" s="21"/>
      <c r="K69" s="22"/>
    </row>
    <row r="70" spans="2:11" ht="16" thickBot="1" x14ac:dyDescent="0.25">
      <c r="B70" s="23" t="s">
        <v>6</v>
      </c>
      <c r="C70" s="24" t="s">
        <v>7</v>
      </c>
      <c r="D70" s="25"/>
      <c r="E70" s="26" t="s">
        <v>8</v>
      </c>
      <c r="F70" s="23" t="s">
        <v>9</v>
      </c>
      <c r="G70" s="26"/>
      <c r="H70" s="23"/>
      <c r="I70" s="27"/>
      <c r="J70" s="28"/>
      <c r="K70" s="29" t="s">
        <v>10</v>
      </c>
    </row>
    <row r="71" spans="2:11" ht="18" thickBot="1" x14ac:dyDescent="0.3">
      <c r="B71" s="30">
        <v>1</v>
      </c>
      <c r="C71" s="31" t="s">
        <v>140</v>
      </c>
      <c r="D71" s="57" t="s">
        <v>141</v>
      </c>
      <c r="E71" s="33" t="s">
        <v>113</v>
      </c>
      <c r="F71" s="34">
        <v>4000</v>
      </c>
      <c r="G71" s="35" t="s">
        <v>142</v>
      </c>
      <c r="H71" s="36">
        <v>8</v>
      </c>
      <c r="I71" s="37">
        <f>500*7+325</f>
        <v>3825</v>
      </c>
      <c r="J71" s="38">
        <v>19.309999999999999</v>
      </c>
      <c r="K71" s="39">
        <f t="shared" ref="K71" si="2">I71*J71</f>
        <v>73860.75</v>
      </c>
    </row>
    <row r="72" spans="2:11" ht="17" thickBot="1" x14ac:dyDescent="0.3">
      <c r="B72" s="41"/>
      <c r="C72" s="42"/>
      <c r="D72" s="43"/>
      <c r="E72" s="44"/>
      <c r="F72" s="45">
        <f>SUM(F71:F71)</f>
        <v>4000</v>
      </c>
      <c r="G72" s="46"/>
      <c r="H72" s="45">
        <f>SUM(H71:H71)</f>
        <v>8</v>
      </c>
      <c r="I72" s="45">
        <f>SUM(I71:I71)</f>
        <v>3825</v>
      </c>
      <c r="J72" s="45"/>
      <c r="K72" s="47">
        <f>SUM(K71:K71)</f>
        <v>73860.75</v>
      </c>
    </row>
    <row r="73" spans="2:11" ht="17" thickBot="1" x14ac:dyDescent="0.3">
      <c r="B73" s="48"/>
      <c r="C73" s="49"/>
      <c r="D73" s="50"/>
      <c r="E73" s="49"/>
      <c r="F73" s="51"/>
      <c r="G73" s="52"/>
      <c r="H73" s="53"/>
      <c r="I73" s="52"/>
      <c r="J73" s="54">
        <v>0.18</v>
      </c>
      <c r="K73" s="55">
        <f>+K72*0.18</f>
        <v>13294.934999999999</v>
      </c>
    </row>
    <row r="74" spans="2:11" ht="17" thickBot="1" x14ac:dyDescent="0.3">
      <c r="J74" s="48"/>
      <c r="K74" s="56">
        <f>+K72+K73</f>
        <v>87155.684999999998</v>
      </c>
    </row>
    <row r="77" spans="2:11" x14ac:dyDescent="0.2">
      <c r="F77" s="40">
        <f>F72+F63+F9</f>
        <v>247220</v>
      </c>
      <c r="H77" s="40">
        <f>H72+H63+H9</f>
        <v>499</v>
      </c>
      <c r="I77" s="40">
        <f>I72+I63+I9</f>
        <v>247078</v>
      </c>
    </row>
  </sheetData>
  <conditionalFormatting sqref="C9:C10">
    <cfRule type="duplicateValues" dxfId="2" priority="3"/>
  </conditionalFormatting>
  <conditionalFormatting sqref="C63:C64">
    <cfRule type="duplicateValues" dxfId="1" priority="2"/>
  </conditionalFormatting>
  <conditionalFormatting sqref="C72:C73">
    <cfRule type="duplicateValues" dxfId="0" priority="1"/>
  </conditionalFormatting>
  <pageMargins left="0.7" right="0.7" top="0.75" bottom="0.75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C3A0-EC8F-2F42-A180-4A4B57A8B0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June 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2026-06-30T18:55:01Z</dcterms:created>
  <dcterms:modified xsi:type="dcterms:W3CDTF">2026-06-30T18:55:23Z</dcterms:modified>
</cp:coreProperties>
</file>