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/Desktop/"/>
    </mc:Choice>
  </mc:AlternateContent>
  <xr:revisionPtr revIDLastSave="0" documentId="8_{BD357938-7A8E-E940-B522-1173CED658C2}" xr6:coauthVersionLast="47" xr6:coauthVersionMax="47" xr10:uidLastSave="{00000000-0000-0000-0000-000000000000}"/>
  <bookViews>
    <workbookView xWindow="3100" yWindow="980" windowWidth="27640" windowHeight="15640" xr2:uid="{AE308B2E-0A99-1A42-A8B0-697B4B75577C}"/>
  </bookViews>
  <sheets>
    <sheet name="26 June 26" sheetId="2" r:id="rId1"/>
    <sheet name="Sheet1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2" i="2" l="1"/>
  <c r="H52" i="2"/>
  <c r="H58" i="2" s="1"/>
  <c r="F52" i="2"/>
  <c r="F58" i="2" s="1"/>
  <c r="I51" i="2"/>
  <c r="K51" i="2" s="1"/>
  <c r="I50" i="2"/>
  <c r="K50" i="2" s="1"/>
  <c r="I49" i="2"/>
  <c r="K49" i="2" s="1"/>
  <c r="K48" i="2"/>
  <c r="I48" i="2"/>
  <c r="I47" i="2"/>
  <c r="K47" i="2" s="1"/>
  <c r="I46" i="2"/>
  <c r="K46" i="2" s="1"/>
  <c r="I45" i="2"/>
  <c r="K45" i="2" s="1"/>
  <c r="K44" i="2"/>
  <c r="I44" i="2"/>
  <c r="I43" i="2"/>
  <c r="K43" i="2" s="1"/>
  <c r="I42" i="2"/>
  <c r="K42" i="2" s="1"/>
  <c r="I41" i="2"/>
  <c r="K41" i="2" s="1"/>
  <c r="K40" i="2"/>
  <c r="I40" i="2"/>
  <c r="I39" i="2"/>
  <c r="K39" i="2" s="1"/>
  <c r="I38" i="2"/>
  <c r="K38" i="2" s="1"/>
  <c r="I37" i="2"/>
  <c r="K37" i="2" s="1"/>
  <c r="K36" i="2"/>
  <c r="I36" i="2"/>
  <c r="I35" i="2"/>
  <c r="K35" i="2" s="1"/>
  <c r="I34" i="2"/>
  <c r="K34" i="2" s="1"/>
  <c r="I33" i="2"/>
  <c r="K33" i="2" s="1"/>
  <c r="K32" i="2"/>
  <c r="I32" i="2"/>
  <c r="I31" i="2"/>
  <c r="K31" i="2" s="1"/>
  <c r="I30" i="2"/>
  <c r="K30" i="2" s="1"/>
  <c r="I29" i="2"/>
  <c r="K29" i="2" s="1"/>
  <c r="H21" i="2"/>
  <c r="F21" i="2"/>
  <c r="I20" i="2"/>
  <c r="I21" i="2" s="1"/>
  <c r="H12" i="2"/>
  <c r="F12" i="2"/>
  <c r="I11" i="2"/>
  <c r="K11" i="2" s="1"/>
  <c r="K10" i="2"/>
  <c r="I10" i="2"/>
  <c r="I9" i="2"/>
  <c r="K9" i="2" s="1"/>
  <c r="I8" i="2"/>
  <c r="K8" i="2" s="1"/>
  <c r="I7" i="2"/>
  <c r="I12" i="2" s="1"/>
  <c r="K52" i="2" l="1"/>
  <c r="I58" i="2"/>
  <c r="K7" i="2"/>
  <c r="K12" i="2" s="1"/>
  <c r="K20" i="2"/>
  <c r="K21" i="2" s="1"/>
  <c r="K22" i="2" l="1"/>
  <c r="K23" i="2"/>
  <c r="K13" i="2"/>
  <c r="K14" i="2"/>
  <c r="K53" i="2"/>
  <c r="K54" i="2" s="1"/>
</calcChain>
</file>

<file path=xl/sharedStrings.xml><?xml version="1.0" encoding="utf-8"?>
<sst xmlns="http://schemas.openxmlformats.org/spreadsheetml/2006/main" count="149" uniqueCount="92">
  <si>
    <t>PACKING DETAILS</t>
  </si>
  <si>
    <t>VENDOR CODE-20300788</t>
  </si>
  <si>
    <t>PO No: POP2202605080012  Dt: 08-05-2026</t>
  </si>
  <si>
    <t>INVOICE NO------</t>
  </si>
  <si>
    <t>70</t>
  </si>
  <si>
    <t>Dt: 26-06-2026</t>
  </si>
  <si>
    <t>SN</t>
  </si>
  <si>
    <t>ITEM CODE</t>
  </si>
  <si>
    <t>COLOUR</t>
  </si>
  <si>
    <t>ORDER</t>
  </si>
  <si>
    <t>AMOUNT</t>
  </si>
  <si>
    <t>3220-00020-34</t>
  </si>
  <si>
    <t>AVSS 0.5F</t>
  </si>
  <si>
    <t>BLACK</t>
  </si>
  <si>
    <t>31*500, 2*490, 2*470, 1*460, 1*450, 1*400</t>
  </si>
  <si>
    <t>3220-00020-32</t>
  </si>
  <si>
    <t>GREEN/YELLOW</t>
  </si>
  <si>
    <t>23*500,1*545, 1*490,1*480</t>
  </si>
  <si>
    <t>3207-01330-10</t>
  </si>
  <si>
    <t>AVX 0.5F</t>
  </si>
  <si>
    <t>PINK</t>
  </si>
  <si>
    <t>31*500, 1*525, 1*480, 1*470, 1*425, 1*370, 1*285</t>
  </si>
  <si>
    <t>3207-01330-11</t>
  </si>
  <si>
    <t>LIGHT-GREEN/RED</t>
  </si>
  <si>
    <t>2*500, 1*620, 1*400</t>
  </si>
  <si>
    <t>3207-01330-12</t>
  </si>
  <si>
    <t>BLUE/RED</t>
  </si>
  <si>
    <t>5*500, 1*560, *470, 1*400</t>
  </si>
  <si>
    <t>PO No: POP2202605130006  Dt: 13-05-2026</t>
  </si>
  <si>
    <t>71</t>
  </si>
  <si>
    <t>40*500</t>
  </si>
  <si>
    <t>PO No: POP2202606050001  Dt: 05-06-2026</t>
  </si>
  <si>
    <t>72</t>
  </si>
  <si>
    <t>3220-00020-38</t>
  </si>
  <si>
    <t>YELLOW/GREEN</t>
  </si>
  <si>
    <t>10*500</t>
  </si>
  <si>
    <t>3220-00046-00</t>
  </si>
  <si>
    <t>AV 0.75F</t>
  </si>
  <si>
    <t>GREEN</t>
  </si>
  <si>
    <t>4*500, 1*515</t>
  </si>
  <si>
    <t>3220-00046-01</t>
  </si>
  <si>
    <t>BLACK/WHITE</t>
  </si>
  <si>
    <t>3*500</t>
  </si>
  <si>
    <t>3220-00019-16</t>
  </si>
  <si>
    <t>AV 0.5F</t>
  </si>
  <si>
    <t>BROWN</t>
  </si>
  <si>
    <t>5*500, 1*460</t>
  </si>
  <si>
    <t>3220-00019-17</t>
  </si>
  <si>
    <t>WHITE/RED</t>
  </si>
  <si>
    <t>5*500, 1*470</t>
  </si>
  <si>
    <t>3220-00017-10</t>
  </si>
  <si>
    <t>AVS 0.5F</t>
  </si>
  <si>
    <t>8*500</t>
  </si>
  <si>
    <t>3220-00019-04</t>
  </si>
  <si>
    <t>DARK-GREEN</t>
  </si>
  <si>
    <t>5*500, 1*550, 1*515</t>
  </si>
  <si>
    <t>6*500, 1*560, 1*540</t>
  </si>
  <si>
    <t>12*500</t>
  </si>
  <si>
    <t>3207-01330-08</t>
  </si>
  <si>
    <t>BLACK/BLUE</t>
  </si>
  <si>
    <t>10*500, 1*515</t>
  </si>
  <si>
    <t>3207-01330-09</t>
  </si>
  <si>
    <t>WHITE/BLUE</t>
  </si>
  <si>
    <t>25*500, 1*600, 2*545</t>
  </si>
  <si>
    <t>21*500, 1*520, 3*490, 1*450</t>
  </si>
  <si>
    <t>21*500</t>
  </si>
  <si>
    <t>3207-01330-13</t>
  </si>
  <si>
    <t>YELLOW/RED</t>
  </si>
  <si>
    <t>16*500, 1*525, 1*520</t>
  </si>
  <si>
    <t>3207-01330-14</t>
  </si>
  <si>
    <t>BLACK/RED</t>
  </si>
  <si>
    <t>10*500, 1*495</t>
  </si>
  <si>
    <t>3207-01330-15</t>
  </si>
  <si>
    <t>GRAY/BLACK</t>
  </si>
  <si>
    <t>5*500, 1*525</t>
  </si>
  <si>
    <t>3220-00054-01</t>
  </si>
  <si>
    <t>GREEN/RED</t>
  </si>
  <si>
    <t>7*500, 1*360</t>
  </si>
  <si>
    <t>3220-00054-04</t>
  </si>
  <si>
    <t>GRAY</t>
  </si>
  <si>
    <t>9*500, 1*365</t>
  </si>
  <si>
    <t>3220-00020-45</t>
  </si>
  <si>
    <t>7*500, 1*535</t>
  </si>
  <si>
    <t>3220-00020-33</t>
  </si>
  <si>
    <t>YELLOW</t>
  </si>
  <si>
    <t>12*500, 1*535, 1*470</t>
  </si>
  <si>
    <t>3220-00032-55</t>
  </si>
  <si>
    <t>5*500, 1*585</t>
  </si>
  <si>
    <t>3207-01206-27</t>
  </si>
  <si>
    <t>AVSS 0.75F</t>
  </si>
  <si>
    <t>YELLOW/BLACK</t>
  </si>
  <si>
    <t>8*500, 1*495, 1*340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</si>
</sst>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#,###,###,###,##0"/>
    <numFmt numFmtId="165" formatCode="[$-409]d\-mmm\-yy;@"/>
    <numFmt numFmtId="166" formatCode="###,###,###,###,##0.00"/>
  </numFmts>
  <fonts count="12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b/>
      <sz val="10"/>
      <name val="Segoe UI"/>
      <family val="2"/>
    </font>
    <font>
      <sz val="10"/>
      <name val="Segoe UI"/>
      <family val="2"/>
    </font>
    <font>
      <b/>
      <sz val="12"/>
      <color theme="1"/>
      <name val="Segoe UI"/>
      <family val="2"/>
    </font>
    <font>
      <b/>
      <sz val="14"/>
      <color theme="1"/>
      <name val="Segoe UI"/>
      <family val="2"/>
    </font>
    <font>
      <b/>
      <sz val="11"/>
      <color theme="1"/>
      <name val="Segoe UI"/>
      <family val="2"/>
    </font>
    <font>
      <b/>
      <sz val="11"/>
      <name val="Segoe UI"/>
      <family val="2"/>
    </font>
    <font>
      <b/>
      <sz val="9"/>
      <name val="Segoe UI"/>
      <family val="2"/>
    </font>
    <font>
      <sz val="11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12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0" borderId="0" xfId="1" applyFont="1"/>
    <xf numFmtId="0" fontId="3" fillId="0" borderId="1" xfId="1" applyFont="1" applyBorder="1" applyAlignment="1">
      <alignment horizontal="left"/>
    </xf>
    <xf numFmtId="0" fontId="3" fillId="0" borderId="1" xfId="1" applyFont="1" applyBorder="1" applyAlignment="1">
      <alignment horizontal="center"/>
    </xf>
    <xf numFmtId="0" fontId="3" fillId="0" borderId="1" xfId="1" applyFont="1" applyBorder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64" fontId="3" fillId="0" borderId="0" xfId="1" applyNumberFormat="1" applyFont="1" applyAlignment="1">
      <alignment horizontal="center"/>
    </xf>
    <xf numFmtId="0" fontId="3" fillId="0" borderId="0" xfId="1" applyFont="1"/>
    <xf numFmtId="0" fontId="1" fillId="0" borderId="0" xfId="1"/>
    <xf numFmtId="0" fontId="3" fillId="0" borderId="0" xfId="1" applyFont="1" applyAlignment="1">
      <alignment horizontal="left"/>
    </xf>
    <xf numFmtId="0" fontId="2" fillId="0" borderId="0" xfId="1" applyFont="1" applyAlignment="1">
      <alignment horizontal="center"/>
    </xf>
    <xf numFmtId="0" fontId="4" fillId="0" borderId="0" xfId="1" applyFont="1"/>
    <xf numFmtId="0" fontId="5" fillId="0" borderId="0" xfId="1" applyFont="1"/>
    <xf numFmtId="0" fontId="2" fillId="0" borderId="2" xfId="1" applyFont="1" applyBorder="1"/>
    <xf numFmtId="0" fontId="6" fillId="0" borderId="2" xfId="1" applyFont="1" applyBorder="1" applyAlignment="1">
      <alignment horizontal="left"/>
    </xf>
    <xf numFmtId="49" fontId="7" fillId="0" borderId="3" xfId="1" applyNumberFormat="1" applyFont="1" applyBorder="1" applyAlignment="1">
      <alignment horizontal="center"/>
    </xf>
    <xf numFmtId="165" fontId="6" fillId="0" borderId="4" xfId="1" applyNumberFormat="1" applyFont="1" applyBorder="1" applyAlignment="1">
      <alignment horizontal="center"/>
    </xf>
    <xf numFmtId="16" fontId="2" fillId="0" borderId="5" xfId="1" applyNumberFormat="1" applyFont="1" applyBorder="1" applyAlignment="1">
      <alignment horizontal="center"/>
    </xf>
    <xf numFmtId="0" fontId="4" fillId="0" borderId="5" xfId="1" applyFont="1" applyBorder="1"/>
    <xf numFmtId="0" fontId="2" fillId="0" borderId="5" xfId="1" applyFont="1" applyBorder="1"/>
    <xf numFmtId="0" fontId="3" fillId="0" borderId="5" xfId="1" applyFont="1" applyBorder="1" applyAlignment="1">
      <alignment horizontal="center"/>
    </xf>
    <xf numFmtId="0" fontId="2" fillId="0" borderId="4" xfId="1" applyFont="1" applyBorder="1"/>
    <xf numFmtId="0" fontId="3" fillId="0" borderId="6" xfId="1" applyFont="1" applyBorder="1" applyAlignment="1">
      <alignment horizontal="center"/>
    </xf>
    <xf numFmtId="0" fontId="3" fillId="0" borderId="7" xfId="1" applyFont="1" applyBorder="1" applyAlignment="1">
      <alignment horizontal="left"/>
    </xf>
    <xf numFmtId="0" fontId="4" fillId="0" borderId="8" xfId="1" applyFont="1" applyBorder="1" applyAlignment="1">
      <alignment horizontal="center" vertical="center"/>
    </xf>
    <xf numFmtId="0" fontId="4" fillId="0" borderId="7" xfId="1" applyFont="1" applyBorder="1" applyAlignment="1">
      <alignment horizontal="center"/>
    </xf>
    <xf numFmtId="0" fontId="3" fillId="0" borderId="7" xfId="1" applyFont="1" applyBorder="1" applyAlignment="1">
      <alignment horizontal="center"/>
    </xf>
    <xf numFmtId="0" fontId="3" fillId="0" borderId="9" xfId="1" applyFont="1" applyBorder="1" applyAlignment="1">
      <alignment horizontal="center"/>
    </xf>
    <xf numFmtId="0" fontId="3" fillId="0" borderId="10" xfId="1" applyFont="1" applyBorder="1" applyAlignment="1">
      <alignment horizontal="center"/>
    </xf>
    <xf numFmtId="0" fontId="3" fillId="0" borderId="11" xfId="1" applyFont="1" applyBorder="1" applyAlignment="1">
      <alignment horizontal="center"/>
    </xf>
    <xf numFmtId="0" fontId="8" fillId="0" borderId="1" xfId="1" applyFont="1" applyBorder="1" applyAlignment="1">
      <alignment horizontal="center"/>
    </xf>
    <xf numFmtId="0" fontId="9" fillId="0" borderId="1" xfId="1" applyFont="1" applyBorder="1" applyAlignment="1">
      <alignment horizontal="center" vertical="center"/>
    </xf>
    <xf numFmtId="0" fontId="10" fillId="0" borderId="12" xfId="1" applyFont="1" applyBorder="1" applyAlignment="1">
      <alignment horizontal="center" vertical="center"/>
    </xf>
    <xf numFmtId="0" fontId="9" fillId="0" borderId="1" xfId="1" applyFont="1" applyBorder="1" applyAlignment="1">
      <alignment vertical="center"/>
    </xf>
    <xf numFmtId="164" fontId="9" fillId="0" borderId="1" xfId="1" applyNumberFormat="1" applyFont="1" applyBorder="1" applyAlignment="1">
      <alignment horizontal="center" vertical="center"/>
    </xf>
    <xf numFmtId="0" fontId="8" fillId="0" borderId="1" xfId="1" applyFont="1" applyBorder="1" applyAlignment="1">
      <alignment horizontal="center" wrapText="1"/>
    </xf>
    <xf numFmtId="164" fontId="9" fillId="0" borderId="1" xfId="1" applyNumberFormat="1" applyFont="1" applyBorder="1" applyAlignment="1">
      <alignment horizontal="center"/>
    </xf>
    <xf numFmtId="0" fontId="8" fillId="0" borderId="1" xfId="1" applyFont="1" applyBorder="1" applyAlignment="1">
      <alignment horizontal="center" vertical="center"/>
    </xf>
    <xf numFmtId="2" fontId="8" fillId="0" borderId="1" xfId="1" applyNumberFormat="1" applyFont="1" applyBorder="1" applyAlignment="1">
      <alignment horizontal="center" vertical="center"/>
    </xf>
    <xf numFmtId="2" fontId="8" fillId="0" borderId="13" xfId="1" applyNumberFormat="1" applyFont="1" applyBorder="1" applyAlignment="1">
      <alignment horizontal="center" vertical="center"/>
    </xf>
    <xf numFmtId="164" fontId="1" fillId="0" borderId="0" xfId="1" applyNumberFormat="1"/>
    <xf numFmtId="0" fontId="9" fillId="0" borderId="1" xfId="1" applyFont="1" applyBorder="1" applyAlignment="1">
      <alignment horizontal="center" wrapText="1"/>
    </xf>
    <xf numFmtId="0" fontId="11" fillId="0" borderId="14" xfId="1" applyFont="1" applyBorder="1"/>
    <xf numFmtId="0" fontId="9" fillId="0" borderId="15" xfId="1" applyFont="1" applyBorder="1" applyAlignment="1">
      <alignment horizontal="left"/>
    </xf>
    <xf numFmtId="0" fontId="9" fillId="0" borderId="15" xfId="1" applyFont="1" applyBorder="1" applyAlignment="1">
      <alignment horizontal="center"/>
    </xf>
    <xf numFmtId="0" fontId="9" fillId="0" borderId="16" xfId="1" applyFont="1" applyBorder="1"/>
    <xf numFmtId="164" fontId="8" fillId="0" borderId="10" xfId="1" applyNumberFormat="1" applyFont="1" applyBorder="1" applyAlignment="1">
      <alignment horizontal="center"/>
    </xf>
    <xf numFmtId="0" fontId="11" fillId="0" borderId="10" xfId="1" applyFont="1" applyBorder="1"/>
    <xf numFmtId="166" fontId="8" fillId="0" borderId="10" xfId="1" applyNumberFormat="1" applyFont="1" applyBorder="1" applyAlignment="1">
      <alignment horizontal="center"/>
    </xf>
    <xf numFmtId="0" fontId="8" fillId="0" borderId="0" xfId="1" applyFont="1" applyAlignment="1">
      <alignment horizontal="center"/>
    </xf>
    <xf numFmtId="0" fontId="9" fillId="0" borderId="0" xfId="1" applyFont="1" applyAlignment="1">
      <alignment horizontal="left" vertical="center"/>
    </xf>
    <xf numFmtId="0" fontId="9" fillId="0" borderId="0" xfId="1" applyFont="1" applyAlignment="1">
      <alignment horizontal="center" vertical="center"/>
    </xf>
    <xf numFmtId="164" fontId="9" fillId="0" borderId="0" xfId="1" applyNumberFormat="1" applyFont="1" applyAlignment="1">
      <alignment horizontal="center" vertical="center"/>
    </xf>
    <xf numFmtId="0" fontId="11" fillId="0" borderId="0" xfId="1" applyFont="1"/>
    <xf numFmtId="164" fontId="8" fillId="0" borderId="0" xfId="1" applyNumberFormat="1" applyFont="1" applyAlignment="1">
      <alignment horizontal="center"/>
    </xf>
    <xf numFmtId="9" fontId="8" fillId="0" borderId="0" xfId="1" applyNumberFormat="1" applyFont="1" applyAlignment="1">
      <alignment horizontal="center"/>
    </xf>
    <xf numFmtId="2" fontId="11" fillId="0" borderId="17" xfId="1" applyNumberFormat="1" applyFont="1" applyBorder="1" applyAlignment="1">
      <alignment horizontal="center"/>
    </xf>
    <xf numFmtId="2" fontId="8" fillId="0" borderId="6" xfId="1" applyNumberFormat="1" applyFont="1" applyBorder="1" applyAlignment="1">
      <alignment horizontal="center"/>
    </xf>
  </cellXfs>
  <cellStyles count="2">
    <cellStyle name="Normal" xfId="0" builtinId="0"/>
    <cellStyle name="Normal 2 3" xfId="1" xr:uid="{2A39A6A2-BCCD-D04E-8F53-1845936C3523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687EA-5E48-7D40-BC06-DF0612E1DF18}">
  <sheetPr>
    <pageSetUpPr fitToPage="1"/>
  </sheetPr>
  <dimension ref="B3:M58"/>
  <sheetViews>
    <sheetView tabSelected="1" topLeftCell="A40" zoomScale="133" zoomScaleNormal="70" workbookViewId="0">
      <selection activeCell="F11" sqref="F11"/>
    </sheetView>
  </sheetViews>
  <sheetFormatPr baseColWidth="10" defaultColWidth="8.83203125" defaultRowHeight="15" x14ac:dyDescent="0.2"/>
  <cols>
    <col min="1" max="1" width="8.83203125" style="9"/>
    <col min="2" max="2" width="3.33203125" style="9" bestFit="1" customWidth="1"/>
    <col min="3" max="3" width="17.1640625" style="9" customWidth="1"/>
    <col min="4" max="4" width="12" style="9" customWidth="1"/>
    <col min="5" max="5" width="22" style="9" bestFit="1" customWidth="1"/>
    <col min="6" max="6" width="9.33203125" style="9" customWidth="1"/>
    <col min="7" max="7" width="23.33203125" style="9" customWidth="1"/>
    <col min="8" max="8" width="7.1640625" style="9" bestFit="1" customWidth="1"/>
    <col min="9" max="9" width="8.6640625" style="9" bestFit="1" customWidth="1"/>
    <col min="10" max="10" width="6.33203125" style="9" customWidth="1"/>
    <col min="11" max="11" width="13.6640625" style="9" customWidth="1"/>
    <col min="12" max="16384" width="8.83203125" style="9"/>
  </cols>
  <sheetData>
    <row r="3" spans="2:13" x14ac:dyDescent="0.2">
      <c r="B3" s="1"/>
      <c r="C3" s="2" t="s">
        <v>0</v>
      </c>
      <c r="D3" s="3"/>
      <c r="E3" s="4" t="s">
        <v>1</v>
      </c>
      <c r="F3" s="5"/>
      <c r="G3" s="6"/>
      <c r="H3" s="6"/>
      <c r="I3" s="7"/>
      <c r="J3" s="8"/>
      <c r="K3" s="1"/>
    </row>
    <row r="4" spans="2:13" ht="16" thickBot="1" x14ac:dyDescent="0.25">
      <c r="B4" s="1"/>
      <c r="C4" s="10" t="s">
        <v>2</v>
      </c>
      <c r="D4" s="11"/>
      <c r="E4" s="12"/>
      <c r="F4" s="11"/>
      <c r="G4" s="13"/>
      <c r="H4" s="8"/>
      <c r="I4" s="6"/>
      <c r="J4" s="6"/>
      <c r="K4" s="1"/>
    </row>
    <row r="5" spans="2:13" ht="22" thickBot="1" x14ac:dyDescent="0.35">
      <c r="B5" s="14"/>
      <c r="C5" s="15" t="s">
        <v>3</v>
      </c>
      <c r="D5" s="16" t="s">
        <v>4</v>
      </c>
      <c r="E5" s="17" t="s">
        <v>5</v>
      </c>
      <c r="F5" s="18"/>
      <c r="G5" s="19"/>
      <c r="H5" s="20"/>
      <c r="I5" s="21"/>
      <c r="J5" s="21"/>
      <c r="K5" s="22"/>
    </row>
    <row r="6" spans="2:13" ht="16" thickBot="1" x14ac:dyDescent="0.25">
      <c r="B6" s="23" t="s">
        <v>6</v>
      </c>
      <c r="C6" s="24" t="s">
        <v>7</v>
      </c>
      <c r="D6" s="25"/>
      <c r="E6" s="26" t="s">
        <v>8</v>
      </c>
      <c r="F6" s="23" t="s">
        <v>9</v>
      </c>
      <c r="G6" s="27"/>
      <c r="H6" s="23"/>
      <c r="I6" s="28"/>
      <c r="J6" s="29"/>
      <c r="K6" s="30" t="s">
        <v>10</v>
      </c>
    </row>
    <row r="7" spans="2:13" ht="34" x14ac:dyDescent="0.25">
      <c r="B7" s="31">
        <v>1</v>
      </c>
      <c r="C7" s="32" t="s">
        <v>11</v>
      </c>
      <c r="D7" s="33" t="s">
        <v>12</v>
      </c>
      <c r="E7" s="34" t="s">
        <v>13</v>
      </c>
      <c r="F7" s="35">
        <v>18740</v>
      </c>
      <c r="G7" s="36" t="s">
        <v>14</v>
      </c>
      <c r="H7" s="37">
        <v>38</v>
      </c>
      <c r="I7" s="38">
        <f>500*31+490*2+470*2+460+450+400</f>
        <v>18730</v>
      </c>
      <c r="J7" s="39">
        <v>6.72</v>
      </c>
      <c r="K7" s="40">
        <f t="shared" ref="K7:K11" si="0">I7*J7</f>
        <v>125865.59999999999</v>
      </c>
      <c r="M7" s="41"/>
    </row>
    <row r="8" spans="2:13" ht="34" x14ac:dyDescent="0.25">
      <c r="B8" s="31">
        <v>2</v>
      </c>
      <c r="C8" s="32" t="s">
        <v>15</v>
      </c>
      <c r="D8" s="33" t="s">
        <v>12</v>
      </c>
      <c r="E8" s="34" t="s">
        <v>16</v>
      </c>
      <c r="F8" s="35">
        <v>13084</v>
      </c>
      <c r="G8" s="42" t="s">
        <v>17</v>
      </c>
      <c r="H8" s="37">
        <v>26</v>
      </c>
      <c r="I8" s="38">
        <f>500*23+545+490+480</f>
        <v>13015</v>
      </c>
      <c r="J8" s="39">
        <v>6.72</v>
      </c>
      <c r="K8" s="40">
        <f t="shared" si="0"/>
        <v>87460.800000000003</v>
      </c>
      <c r="M8" s="41"/>
    </row>
    <row r="9" spans="2:13" ht="51" x14ac:dyDescent="0.25">
      <c r="B9" s="31">
        <v>3</v>
      </c>
      <c r="C9" s="32" t="s">
        <v>18</v>
      </c>
      <c r="D9" s="33" t="s">
        <v>19</v>
      </c>
      <c r="E9" s="34" t="s">
        <v>20</v>
      </c>
      <c r="F9" s="35">
        <v>18390</v>
      </c>
      <c r="G9" s="36" t="s">
        <v>21</v>
      </c>
      <c r="H9" s="37">
        <v>37</v>
      </c>
      <c r="I9" s="38">
        <f>500*31+525+480+470+425+370+285</f>
        <v>18055</v>
      </c>
      <c r="J9" s="39">
        <v>6.95</v>
      </c>
      <c r="K9" s="40">
        <f t="shared" si="0"/>
        <v>125482.25</v>
      </c>
      <c r="M9" s="41"/>
    </row>
    <row r="10" spans="2:13" ht="17" x14ac:dyDescent="0.25">
      <c r="B10" s="31">
        <v>4</v>
      </c>
      <c r="C10" s="32" t="s">
        <v>22</v>
      </c>
      <c r="D10" s="33" t="s">
        <v>19</v>
      </c>
      <c r="E10" s="34" t="s">
        <v>23</v>
      </c>
      <c r="F10" s="35">
        <v>2305</v>
      </c>
      <c r="G10" s="36" t="s">
        <v>24</v>
      </c>
      <c r="H10" s="37">
        <v>4</v>
      </c>
      <c r="I10" s="38">
        <f>500*2+620+400</f>
        <v>2020</v>
      </c>
      <c r="J10" s="39">
        <v>6.95</v>
      </c>
      <c r="K10" s="40">
        <f t="shared" si="0"/>
        <v>14039</v>
      </c>
      <c r="M10" s="41"/>
    </row>
    <row r="11" spans="2:13" ht="37" customHeight="1" thickBot="1" x14ac:dyDescent="0.3">
      <c r="B11" s="31">
        <v>5</v>
      </c>
      <c r="C11" s="32" t="s">
        <v>25</v>
      </c>
      <c r="D11" s="33" t="s">
        <v>19</v>
      </c>
      <c r="E11" s="34" t="s">
        <v>26</v>
      </c>
      <c r="F11" s="35">
        <v>4045</v>
      </c>
      <c r="G11" s="36" t="s">
        <v>27</v>
      </c>
      <c r="H11" s="37">
        <v>8</v>
      </c>
      <c r="I11" s="38">
        <f>500*5+560+470+400</f>
        <v>3930</v>
      </c>
      <c r="J11" s="39">
        <v>6.95</v>
      </c>
      <c r="K11" s="40">
        <f t="shared" si="0"/>
        <v>27313.5</v>
      </c>
      <c r="M11" s="41"/>
    </row>
    <row r="12" spans="2:13" ht="17" thickBot="1" x14ac:dyDescent="0.3">
      <c r="B12" s="43"/>
      <c r="C12" s="44"/>
      <c r="D12" s="45"/>
      <c r="E12" s="46"/>
      <c r="F12" s="47">
        <f>SUM(F7:F11)</f>
        <v>56564</v>
      </c>
      <c r="G12" s="48"/>
      <c r="H12" s="47">
        <f>SUM(H7:H11)</f>
        <v>113</v>
      </c>
      <c r="I12" s="47">
        <f>SUM(I7:I11)</f>
        <v>55750</v>
      </c>
      <c r="J12" s="47"/>
      <c r="K12" s="49">
        <f>SUM(K7:K11)</f>
        <v>380161.15</v>
      </c>
    </row>
    <row r="13" spans="2:13" ht="17" thickBot="1" x14ac:dyDescent="0.3">
      <c r="B13" s="50"/>
      <c r="C13" s="51"/>
      <c r="D13" s="52"/>
      <c r="E13" s="51"/>
      <c r="F13" s="53"/>
      <c r="G13" s="54"/>
      <c r="H13" s="55"/>
      <c r="I13" s="54"/>
      <c r="J13" s="56">
        <v>0.18</v>
      </c>
      <c r="K13" s="57">
        <f>+K12*0.18</f>
        <v>68429.006999999998</v>
      </c>
    </row>
    <row r="14" spans="2:13" ht="17" thickBot="1" x14ac:dyDescent="0.3">
      <c r="J14" s="50"/>
      <c r="K14" s="58">
        <f>+K12+K13</f>
        <v>448590.15700000001</v>
      </c>
    </row>
    <row r="15" spans="2:13" x14ac:dyDescent="0.2">
      <c r="F15" s="41"/>
      <c r="H15" s="41"/>
      <c r="I15" s="41"/>
    </row>
    <row r="16" spans="2:13" x14ac:dyDescent="0.2">
      <c r="B16" s="1"/>
      <c r="C16" s="2" t="s">
        <v>0</v>
      </c>
      <c r="D16" s="3"/>
      <c r="E16" s="4" t="s">
        <v>1</v>
      </c>
      <c r="F16" s="5"/>
      <c r="G16" s="6"/>
      <c r="H16" s="6"/>
      <c r="I16" s="7"/>
      <c r="J16" s="8"/>
      <c r="K16" s="1"/>
    </row>
    <row r="17" spans="2:11" ht="16" thickBot="1" x14ac:dyDescent="0.25">
      <c r="B17" s="1"/>
      <c r="C17" s="10" t="s">
        <v>28</v>
      </c>
      <c r="D17" s="11"/>
      <c r="E17" s="12"/>
      <c r="F17" s="11"/>
      <c r="G17" s="13"/>
      <c r="H17" s="8"/>
      <c r="I17" s="6"/>
      <c r="J17" s="6"/>
      <c r="K17" s="1"/>
    </row>
    <row r="18" spans="2:11" ht="22" thickBot="1" x14ac:dyDescent="0.35">
      <c r="B18" s="14"/>
      <c r="C18" s="15" t="s">
        <v>3</v>
      </c>
      <c r="D18" s="16" t="s">
        <v>29</v>
      </c>
      <c r="E18" s="17" t="s">
        <v>5</v>
      </c>
      <c r="F18" s="18"/>
      <c r="G18" s="19"/>
      <c r="H18" s="20"/>
      <c r="I18" s="21"/>
      <c r="J18" s="21"/>
      <c r="K18" s="22"/>
    </row>
    <row r="19" spans="2:11" ht="16" thickBot="1" x14ac:dyDescent="0.25">
      <c r="B19" s="23" t="s">
        <v>6</v>
      </c>
      <c r="C19" s="24" t="s">
        <v>7</v>
      </c>
      <c r="D19" s="25"/>
      <c r="E19" s="27" t="s">
        <v>8</v>
      </c>
      <c r="F19" s="23" t="s">
        <v>9</v>
      </c>
      <c r="G19" s="27"/>
      <c r="H19" s="23"/>
      <c r="I19" s="28"/>
      <c r="J19" s="29"/>
      <c r="K19" s="30" t="s">
        <v>10</v>
      </c>
    </row>
    <row r="20" spans="2:11" ht="18" thickBot="1" x14ac:dyDescent="0.3">
      <c r="B20" s="31">
        <v>1</v>
      </c>
      <c r="C20" s="32" t="s">
        <v>11</v>
      </c>
      <c r="D20" s="33" t="s">
        <v>12</v>
      </c>
      <c r="E20" s="34" t="s">
        <v>13</v>
      </c>
      <c r="F20" s="35">
        <v>20000</v>
      </c>
      <c r="G20" s="36" t="s">
        <v>30</v>
      </c>
      <c r="H20" s="37">
        <v>40</v>
      </c>
      <c r="I20" s="38">
        <f>500*40</f>
        <v>20000</v>
      </c>
      <c r="J20" s="39">
        <v>6.72</v>
      </c>
      <c r="K20" s="40">
        <f t="shared" ref="K20" si="1">I20*J20</f>
        <v>134400</v>
      </c>
    </row>
    <row r="21" spans="2:11" ht="17" thickBot="1" x14ac:dyDescent="0.3">
      <c r="B21" s="43"/>
      <c r="C21" s="44"/>
      <c r="D21" s="45"/>
      <c r="E21" s="46"/>
      <c r="F21" s="47">
        <f>SUM(F20:F20)</f>
        <v>20000</v>
      </c>
      <c r="G21" s="48"/>
      <c r="H21" s="47">
        <f>SUM(H20:H20)</f>
        <v>40</v>
      </c>
      <c r="I21" s="47">
        <f>SUM(I20:I20)</f>
        <v>20000</v>
      </c>
      <c r="J21" s="47"/>
      <c r="K21" s="49">
        <f>SUM(K20:K20)</f>
        <v>134400</v>
      </c>
    </row>
    <row r="22" spans="2:11" ht="17" thickBot="1" x14ac:dyDescent="0.3">
      <c r="B22" s="50"/>
      <c r="C22" s="51"/>
      <c r="D22" s="52"/>
      <c r="E22" s="51"/>
      <c r="F22" s="53"/>
      <c r="G22" s="54"/>
      <c r="H22" s="55"/>
      <c r="I22" s="54"/>
      <c r="J22" s="56">
        <v>0.18</v>
      </c>
      <c r="K22" s="57">
        <f>+K21*0.18</f>
        <v>24192</v>
      </c>
    </row>
    <row r="23" spans="2:11" ht="17" thickBot="1" x14ac:dyDescent="0.3">
      <c r="J23" s="50"/>
      <c r="K23" s="58">
        <f>+K21+K22</f>
        <v>158592</v>
      </c>
    </row>
    <row r="25" spans="2:11" x14ac:dyDescent="0.2">
      <c r="B25" s="1"/>
      <c r="C25" s="2" t="s">
        <v>0</v>
      </c>
      <c r="D25" s="3"/>
      <c r="E25" s="4" t="s">
        <v>1</v>
      </c>
      <c r="F25" s="5"/>
      <c r="G25" s="6"/>
      <c r="H25" s="6"/>
      <c r="I25" s="7"/>
      <c r="J25" s="8"/>
      <c r="K25" s="1"/>
    </row>
    <row r="26" spans="2:11" ht="16" thickBot="1" x14ac:dyDescent="0.25">
      <c r="B26" s="1"/>
      <c r="C26" s="10" t="s">
        <v>31</v>
      </c>
      <c r="D26" s="11"/>
      <c r="E26" s="12"/>
      <c r="F26" s="11"/>
      <c r="G26" s="13"/>
      <c r="H26" s="8"/>
      <c r="I26" s="6"/>
      <c r="J26" s="6"/>
      <c r="K26" s="1"/>
    </row>
    <row r="27" spans="2:11" ht="22" thickBot="1" x14ac:dyDescent="0.35">
      <c r="B27" s="14"/>
      <c r="C27" s="15" t="s">
        <v>3</v>
      </c>
      <c r="D27" s="16" t="s">
        <v>32</v>
      </c>
      <c r="E27" s="17" t="s">
        <v>5</v>
      </c>
      <c r="F27" s="18"/>
      <c r="G27" s="19"/>
      <c r="H27" s="20"/>
      <c r="I27" s="21"/>
      <c r="J27" s="21"/>
      <c r="K27" s="22"/>
    </row>
    <row r="28" spans="2:11" ht="16" thickBot="1" x14ac:dyDescent="0.25">
      <c r="B28" s="23" t="s">
        <v>6</v>
      </c>
      <c r="C28" s="24" t="s">
        <v>7</v>
      </c>
      <c r="D28" s="25"/>
      <c r="E28" s="27" t="s">
        <v>8</v>
      </c>
      <c r="F28" s="23" t="s">
        <v>9</v>
      </c>
      <c r="G28" s="27"/>
      <c r="H28" s="23"/>
      <c r="I28" s="28"/>
      <c r="J28" s="29"/>
      <c r="K28" s="30" t="s">
        <v>10</v>
      </c>
    </row>
    <row r="29" spans="2:11" ht="17" x14ac:dyDescent="0.25">
      <c r="B29" s="31">
        <v>1</v>
      </c>
      <c r="C29" s="32" t="s">
        <v>33</v>
      </c>
      <c r="D29" s="33" t="s">
        <v>12</v>
      </c>
      <c r="E29" s="34" t="s">
        <v>34</v>
      </c>
      <c r="F29" s="35">
        <v>5000</v>
      </c>
      <c r="G29" s="36" t="s">
        <v>35</v>
      </c>
      <c r="H29" s="37">
        <v>10</v>
      </c>
      <c r="I29" s="38">
        <f>500*10</f>
        <v>5000</v>
      </c>
      <c r="J29" s="39">
        <v>6.72</v>
      </c>
      <c r="K29" s="40">
        <f t="shared" ref="K29:K51" si="2">I29*J29</f>
        <v>33600</v>
      </c>
    </row>
    <row r="30" spans="2:11" ht="17" x14ac:dyDescent="0.25">
      <c r="B30" s="31">
        <v>2</v>
      </c>
      <c r="C30" s="32" t="s">
        <v>36</v>
      </c>
      <c r="D30" s="33" t="s">
        <v>37</v>
      </c>
      <c r="E30" s="34" t="s">
        <v>38</v>
      </c>
      <c r="F30" s="35">
        <v>2500</v>
      </c>
      <c r="G30" s="36" t="s">
        <v>39</v>
      </c>
      <c r="H30" s="37">
        <v>5</v>
      </c>
      <c r="I30" s="38">
        <f>500*4+515</f>
        <v>2515</v>
      </c>
      <c r="J30" s="39">
        <v>10.25</v>
      </c>
      <c r="K30" s="40">
        <f t="shared" si="2"/>
        <v>25778.75</v>
      </c>
    </row>
    <row r="31" spans="2:11" ht="17" x14ac:dyDescent="0.25">
      <c r="B31" s="31">
        <v>3</v>
      </c>
      <c r="C31" s="32" t="s">
        <v>40</v>
      </c>
      <c r="D31" s="33" t="s">
        <v>37</v>
      </c>
      <c r="E31" s="34" t="s">
        <v>41</v>
      </c>
      <c r="F31" s="35">
        <v>1500</v>
      </c>
      <c r="G31" s="36" t="s">
        <v>42</v>
      </c>
      <c r="H31" s="37">
        <v>3</v>
      </c>
      <c r="I31" s="38">
        <f>500*3</f>
        <v>1500</v>
      </c>
      <c r="J31" s="39">
        <v>10.25</v>
      </c>
      <c r="K31" s="40">
        <f t="shared" si="2"/>
        <v>15375</v>
      </c>
    </row>
    <row r="32" spans="2:11" ht="17" x14ac:dyDescent="0.25">
      <c r="B32" s="31">
        <v>4</v>
      </c>
      <c r="C32" s="32" t="s">
        <v>43</v>
      </c>
      <c r="D32" s="33" t="s">
        <v>44</v>
      </c>
      <c r="E32" s="34" t="s">
        <v>45</v>
      </c>
      <c r="F32" s="35">
        <v>3000</v>
      </c>
      <c r="G32" s="36" t="s">
        <v>46</v>
      </c>
      <c r="H32" s="37">
        <v>6</v>
      </c>
      <c r="I32" s="38">
        <f>500*5+460</f>
        <v>2960</v>
      </c>
      <c r="J32" s="39">
        <v>7</v>
      </c>
      <c r="K32" s="40">
        <f t="shared" si="2"/>
        <v>20720</v>
      </c>
    </row>
    <row r="33" spans="2:11" ht="17" x14ac:dyDescent="0.25">
      <c r="B33" s="31">
        <v>5</v>
      </c>
      <c r="C33" s="32" t="s">
        <v>47</v>
      </c>
      <c r="D33" s="33" t="s">
        <v>44</v>
      </c>
      <c r="E33" s="34" t="s">
        <v>48</v>
      </c>
      <c r="F33" s="35">
        <v>3000</v>
      </c>
      <c r="G33" s="36" t="s">
        <v>49</v>
      </c>
      <c r="H33" s="37">
        <v>6</v>
      </c>
      <c r="I33" s="38">
        <f>500*5+470</f>
        <v>2970</v>
      </c>
      <c r="J33" s="39">
        <v>7</v>
      </c>
      <c r="K33" s="40">
        <f t="shared" si="2"/>
        <v>20790</v>
      </c>
    </row>
    <row r="34" spans="2:11" ht="17" x14ac:dyDescent="0.25">
      <c r="B34" s="31">
        <v>6</v>
      </c>
      <c r="C34" s="32" t="s">
        <v>50</v>
      </c>
      <c r="D34" s="33" t="s">
        <v>51</v>
      </c>
      <c r="E34" s="34" t="s">
        <v>38</v>
      </c>
      <c r="F34" s="35">
        <v>4000</v>
      </c>
      <c r="G34" s="36" t="s">
        <v>52</v>
      </c>
      <c r="H34" s="37">
        <v>8</v>
      </c>
      <c r="I34" s="38">
        <f>500*8</f>
        <v>4000</v>
      </c>
      <c r="J34" s="39">
        <v>6.85</v>
      </c>
      <c r="K34" s="40">
        <f t="shared" si="2"/>
        <v>27400</v>
      </c>
    </row>
    <row r="35" spans="2:11" ht="17" x14ac:dyDescent="0.25">
      <c r="B35" s="31">
        <v>7</v>
      </c>
      <c r="C35" s="32" t="s">
        <v>53</v>
      </c>
      <c r="D35" s="33" t="s">
        <v>44</v>
      </c>
      <c r="E35" s="34" t="s">
        <v>54</v>
      </c>
      <c r="F35" s="35">
        <v>3500</v>
      </c>
      <c r="G35" s="36" t="s">
        <v>55</v>
      </c>
      <c r="H35" s="37">
        <v>7</v>
      </c>
      <c r="I35" s="38">
        <f>500*5+550+515</f>
        <v>3565</v>
      </c>
      <c r="J35" s="39">
        <v>7</v>
      </c>
      <c r="K35" s="40">
        <f t="shared" si="2"/>
        <v>24955</v>
      </c>
    </row>
    <row r="36" spans="2:11" ht="17" x14ac:dyDescent="0.25">
      <c r="B36" s="31">
        <v>8</v>
      </c>
      <c r="C36" s="32" t="s">
        <v>11</v>
      </c>
      <c r="D36" s="33" t="s">
        <v>12</v>
      </c>
      <c r="E36" s="34" t="s">
        <v>13</v>
      </c>
      <c r="F36" s="35">
        <v>4000</v>
      </c>
      <c r="G36" s="36" t="s">
        <v>56</v>
      </c>
      <c r="H36" s="37">
        <v>8</v>
      </c>
      <c r="I36" s="38">
        <f>500*6+560+540</f>
        <v>4100</v>
      </c>
      <c r="J36" s="39">
        <v>6.72</v>
      </c>
      <c r="K36" s="40">
        <f t="shared" si="2"/>
        <v>27552</v>
      </c>
    </row>
    <row r="37" spans="2:11" ht="17" x14ac:dyDescent="0.25">
      <c r="B37" s="31">
        <v>9</v>
      </c>
      <c r="C37" s="32" t="s">
        <v>15</v>
      </c>
      <c r="D37" s="33" t="s">
        <v>12</v>
      </c>
      <c r="E37" s="34" t="s">
        <v>16</v>
      </c>
      <c r="F37" s="35">
        <v>6000</v>
      </c>
      <c r="G37" s="36" t="s">
        <v>57</v>
      </c>
      <c r="H37" s="37">
        <v>12</v>
      </c>
      <c r="I37" s="38">
        <f>500*12</f>
        <v>6000</v>
      </c>
      <c r="J37" s="39">
        <v>6.72</v>
      </c>
      <c r="K37" s="40">
        <f t="shared" si="2"/>
        <v>40320</v>
      </c>
    </row>
    <row r="38" spans="2:11" ht="17" x14ac:dyDescent="0.25">
      <c r="B38" s="31">
        <v>10</v>
      </c>
      <c r="C38" s="32" t="s">
        <v>58</v>
      </c>
      <c r="D38" s="33" t="s">
        <v>19</v>
      </c>
      <c r="E38" s="34" t="s">
        <v>59</v>
      </c>
      <c r="F38" s="35">
        <v>5500</v>
      </c>
      <c r="G38" s="36" t="s">
        <v>60</v>
      </c>
      <c r="H38" s="37">
        <v>11</v>
      </c>
      <c r="I38" s="38">
        <f>500*10+515</f>
        <v>5515</v>
      </c>
      <c r="J38" s="39">
        <v>6.95</v>
      </c>
      <c r="K38" s="40">
        <f t="shared" si="2"/>
        <v>38329.25</v>
      </c>
    </row>
    <row r="39" spans="2:11" ht="17" x14ac:dyDescent="0.25">
      <c r="B39" s="31">
        <v>11</v>
      </c>
      <c r="C39" s="32" t="s">
        <v>61</v>
      </c>
      <c r="D39" s="33" t="s">
        <v>19</v>
      </c>
      <c r="E39" s="34" t="s">
        <v>62</v>
      </c>
      <c r="F39" s="35">
        <v>14000</v>
      </c>
      <c r="G39" s="36" t="s">
        <v>63</v>
      </c>
      <c r="H39" s="37">
        <v>28</v>
      </c>
      <c r="I39" s="38">
        <f>500*25+600+545*2</f>
        <v>14190</v>
      </c>
      <c r="J39" s="39">
        <v>6.95</v>
      </c>
      <c r="K39" s="40">
        <f t="shared" si="2"/>
        <v>98620.5</v>
      </c>
    </row>
    <row r="40" spans="2:11" ht="34" x14ac:dyDescent="0.25">
      <c r="B40" s="31">
        <v>12</v>
      </c>
      <c r="C40" s="32" t="s">
        <v>18</v>
      </c>
      <c r="D40" s="33" t="s">
        <v>19</v>
      </c>
      <c r="E40" s="34" t="s">
        <v>20</v>
      </c>
      <c r="F40" s="35">
        <v>13000</v>
      </c>
      <c r="G40" s="36" t="s">
        <v>64</v>
      </c>
      <c r="H40" s="37">
        <v>26</v>
      </c>
      <c r="I40" s="38">
        <f>500*21+520+490*3+450</f>
        <v>12940</v>
      </c>
      <c r="J40" s="39">
        <v>6.95</v>
      </c>
      <c r="K40" s="40">
        <f t="shared" si="2"/>
        <v>89933</v>
      </c>
    </row>
    <row r="41" spans="2:11" ht="17" x14ac:dyDescent="0.25">
      <c r="B41" s="31">
        <v>13</v>
      </c>
      <c r="C41" s="32" t="s">
        <v>22</v>
      </c>
      <c r="D41" s="33" t="s">
        <v>19</v>
      </c>
      <c r="E41" s="34" t="s">
        <v>23</v>
      </c>
      <c r="F41" s="35">
        <v>10500</v>
      </c>
      <c r="G41" s="36" t="s">
        <v>65</v>
      </c>
      <c r="H41" s="37">
        <v>21</v>
      </c>
      <c r="I41" s="38">
        <f>500*21</f>
        <v>10500</v>
      </c>
      <c r="J41" s="39">
        <v>6.95</v>
      </c>
      <c r="K41" s="40">
        <f t="shared" si="2"/>
        <v>72975</v>
      </c>
    </row>
    <row r="42" spans="2:11" ht="17" x14ac:dyDescent="0.25">
      <c r="B42" s="31">
        <v>14</v>
      </c>
      <c r="C42" s="32" t="s">
        <v>25</v>
      </c>
      <c r="D42" s="33" t="s">
        <v>19</v>
      </c>
      <c r="E42" s="34" t="s">
        <v>26</v>
      </c>
      <c r="F42" s="35">
        <v>5000</v>
      </c>
      <c r="G42" s="36" t="s">
        <v>35</v>
      </c>
      <c r="H42" s="37">
        <v>10</v>
      </c>
      <c r="I42" s="38">
        <f>500*10</f>
        <v>5000</v>
      </c>
      <c r="J42" s="39">
        <v>6.95</v>
      </c>
      <c r="K42" s="40">
        <f t="shared" si="2"/>
        <v>34750</v>
      </c>
    </row>
    <row r="43" spans="2:11" ht="17" x14ac:dyDescent="0.25">
      <c r="B43" s="31">
        <v>15</v>
      </c>
      <c r="C43" s="32" t="s">
        <v>66</v>
      </c>
      <c r="D43" s="33" t="s">
        <v>19</v>
      </c>
      <c r="E43" s="34" t="s">
        <v>67</v>
      </c>
      <c r="F43" s="35">
        <v>9000</v>
      </c>
      <c r="G43" s="36" t="s">
        <v>68</v>
      </c>
      <c r="H43" s="37">
        <v>18</v>
      </c>
      <c r="I43" s="38">
        <f>500*16+525+520</f>
        <v>9045</v>
      </c>
      <c r="J43" s="39">
        <v>6.95</v>
      </c>
      <c r="K43" s="40">
        <f t="shared" si="2"/>
        <v>62862.75</v>
      </c>
    </row>
    <row r="44" spans="2:11" ht="17" x14ac:dyDescent="0.25">
      <c r="B44" s="31">
        <v>16</v>
      </c>
      <c r="C44" s="32" t="s">
        <v>69</v>
      </c>
      <c r="D44" s="33" t="s">
        <v>19</v>
      </c>
      <c r="E44" s="34" t="s">
        <v>70</v>
      </c>
      <c r="F44" s="35">
        <v>5500</v>
      </c>
      <c r="G44" s="36" t="s">
        <v>71</v>
      </c>
      <c r="H44" s="37">
        <v>11</v>
      </c>
      <c r="I44" s="38">
        <f>500*10+495</f>
        <v>5495</v>
      </c>
      <c r="J44" s="39">
        <v>6.95</v>
      </c>
      <c r="K44" s="40">
        <f t="shared" si="2"/>
        <v>38190.25</v>
      </c>
    </row>
    <row r="45" spans="2:11" ht="17" x14ac:dyDescent="0.25">
      <c r="B45" s="31">
        <v>17</v>
      </c>
      <c r="C45" s="32" t="s">
        <v>72</v>
      </c>
      <c r="D45" s="33" t="s">
        <v>19</v>
      </c>
      <c r="E45" s="34" t="s">
        <v>73</v>
      </c>
      <c r="F45" s="35">
        <v>3000</v>
      </c>
      <c r="G45" s="36" t="s">
        <v>74</v>
      </c>
      <c r="H45" s="37">
        <v>6</v>
      </c>
      <c r="I45" s="38">
        <f>500*5+525</f>
        <v>3025</v>
      </c>
      <c r="J45" s="39">
        <v>6.95</v>
      </c>
      <c r="K45" s="40">
        <f t="shared" si="2"/>
        <v>21023.75</v>
      </c>
    </row>
    <row r="46" spans="2:11" ht="17" x14ac:dyDescent="0.25">
      <c r="B46" s="31">
        <v>18</v>
      </c>
      <c r="C46" s="32" t="s">
        <v>75</v>
      </c>
      <c r="D46" s="33" t="s">
        <v>51</v>
      </c>
      <c r="E46" s="34" t="s">
        <v>76</v>
      </c>
      <c r="F46" s="35">
        <v>4000</v>
      </c>
      <c r="G46" s="36" t="s">
        <v>77</v>
      </c>
      <c r="H46" s="37">
        <v>8</v>
      </c>
      <c r="I46" s="38">
        <f>500*7+360</f>
        <v>3860</v>
      </c>
      <c r="J46" s="39">
        <v>6.85</v>
      </c>
      <c r="K46" s="40">
        <f t="shared" si="2"/>
        <v>26441</v>
      </c>
    </row>
    <row r="47" spans="2:11" ht="17" x14ac:dyDescent="0.25">
      <c r="B47" s="31">
        <v>19</v>
      </c>
      <c r="C47" s="32" t="s">
        <v>78</v>
      </c>
      <c r="D47" s="33" t="s">
        <v>51</v>
      </c>
      <c r="E47" s="34" t="s">
        <v>79</v>
      </c>
      <c r="F47" s="35">
        <v>5000</v>
      </c>
      <c r="G47" s="36" t="s">
        <v>80</v>
      </c>
      <c r="H47" s="37">
        <v>10</v>
      </c>
      <c r="I47" s="38">
        <f>500*9+365</f>
        <v>4865</v>
      </c>
      <c r="J47" s="39">
        <v>6.85</v>
      </c>
      <c r="K47" s="40">
        <f t="shared" si="2"/>
        <v>33325.25</v>
      </c>
    </row>
    <row r="48" spans="2:11" ht="17" x14ac:dyDescent="0.25">
      <c r="B48" s="31">
        <v>20</v>
      </c>
      <c r="C48" s="32" t="s">
        <v>81</v>
      </c>
      <c r="D48" s="33" t="s">
        <v>12</v>
      </c>
      <c r="E48" s="34" t="s">
        <v>67</v>
      </c>
      <c r="F48" s="35">
        <v>4000</v>
      </c>
      <c r="G48" s="36" t="s">
        <v>82</v>
      </c>
      <c r="H48" s="37">
        <v>8</v>
      </c>
      <c r="I48" s="38">
        <f>500*7+535</f>
        <v>4035</v>
      </c>
      <c r="J48" s="39">
        <v>6.72</v>
      </c>
      <c r="K48" s="40">
        <f t="shared" si="2"/>
        <v>27115.200000000001</v>
      </c>
    </row>
    <row r="49" spans="2:11" ht="17" x14ac:dyDescent="0.25">
      <c r="B49" s="31">
        <v>21</v>
      </c>
      <c r="C49" s="32" t="s">
        <v>83</v>
      </c>
      <c r="D49" s="33" t="s">
        <v>12</v>
      </c>
      <c r="E49" s="34" t="s">
        <v>84</v>
      </c>
      <c r="F49" s="35">
        <v>7000</v>
      </c>
      <c r="G49" s="36" t="s">
        <v>85</v>
      </c>
      <c r="H49" s="37">
        <v>14</v>
      </c>
      <c r="I49" s="38">
        <f>500*12+535+470</f>
        <v>7005</v>
      </c>
      <c r="J49" s="39">
        <v>6.72</v>
      </c>
      <c r="K49" s="40">
        <f t="shared" si="2"/>
        <v>47073.599999999999</v>
      </c>
    </row>
    <row r="50" spans="2:11" ht="17" x14ac:dyDescent="0.25">
      <c r="B50" s="31">
        <v>22</v>
      </c>
      <c r="C50" s="32" t="s">
        <v>86</v>
      </c>
      <c r="D50" s="33" t="s">
        <v>12</v>
      </c>
      <c r="E50" s="34" t="s">
        <v>84</v>
      </c>
      <c r="F50" s="35">
        <v>3000</v>
      </c>
      <c r="G50" s="36" t="s">
        <v>87</v>
      </c>
      <c r="H50" s="37">
        <v>6</v>
      </c>
      <c r="I50" s="38">
        <f>500*5+585</f>
        <v>3085</v>
      </c>
      <c r="J50" s="39">
        <v>7.1</v>
      </c>
      <c r="K50" s="40">
        <f t="shared" si="2"/>
        <v>21903.5</v>
      </c>
    </row>
    <row r="51" spans="2:11" ht="18" thickBot="1" x14ac:dyDescent="0.3">
      <c r="B51" s="31">
        <v>23</v>
      </c>
      <c r="C51" s="32" t="s">
        <v>88</v>
      </c>
      <c r="D51" s="33" t="s">
        <v>89</v>
      </c>
      <c r="E51" s="34" t="s">
        <v>90</v>
      </c>
      <c r="F51" s="35">
        <v>5000</v>
      </c>
      <c r="G51" s="36" t="s">
        <v>91</v>
      </c>
      <c r="H51" s="37">
        <v>10</v>
      </c>
      <c r="I51" s="38">
        <f>500*8+495+340</f>
        <v>4835</v>
      </c>
      <c r="J51" s="39">
        <v>10.28</v>
      </c>
      <c r="K51" s="40">
        <f t="shared" si="2"/>
        <v>49703.799999999996</v>
      </c>
    </row>
    <row r="52" spans="2:11" ht="17" thickBot="1" x14ac:dyDescent="0.3">
      <c r="B52" s="43"/>
      <c r="C52" s="44"/>
      <c r="D52" s="45"/>
      <c r="E52" s="46"/>
      <c r="F52" s="47">
        <f>SUM(F29:F51)</f>
        <v>126000</v>
      </c>
      <c r="G52" s="48"/>
      <c r="H52" s="47">
        <f>SUM(H29:H51)</f>
        <v>252</v>
      </c>
      <c r="I52" s="47">
        <f>SUM(I29:I51)</f>
        <v>126005</v>
      </c>
      <c r="J52" s="47"/>
      <c r="K52" s="49">
        <f>SUM(K29:K51)</f>
        <v>898737.6</v>
      </c>
    </row>
    <row r="53" spans="2:11" ht="17" thickBot="1" x14ac:dyDescent="0.3">
      <c r="B53" s="50"/>
      <c r="C53" s="51"/>
      <c r="D53" s="52"/>
      <c r="E53" s="51"/>
      <c r="F53" s="53"/>
      <c r="G53" s="54"/>
      <c r="H53" s="55"/>
      <c r="I53" s="54"/>
      <c r="J53" s="56">
        <v>0.18</v>
      </c>
      <c r="K53" s="57">
        <f>+K52*0.18</f>
        <v>161772.76799999998</v>
      </c>
    </row>
    <row r="54" spans="2:11" ht="17" thickBot="1" x14ac:dyDescent="0.3">
      <c r="J54" s="50"/>
      <c r="K54" s="58">
        <f>+K52+K53</f>
        <v>1060510.368</v>
      </c>
    </row>
    <row r="58" spans="2:11" x14ac:dyDescent="0.2">
      <c r="F58" s="41">
        <f>F52+F21+F12</f>
        <v>202564</v>
      </c>
      <c r="H58" s="41">
        <f>H52+H21+H12</f>
        <v>405</v>
      </c>
      <c r="I58" s="41">
        <f>I52+I21+I12</f>
        <v>201755</v>
      </c>
    </row>
  </sheetData>
  <conditionalFormatting sqref="C12:C13">
    <cfRule type="duplicateValues" dxfId="2" priority="3"/>
  </conditionalFormatting>
  <conditionalFormatting sqref="C21:C22">
    <cfRule type="duplicateValues" dxfId="1" priority="2"/>
  </conditionalFormatting>
  <conditionalFormatting sqref="C52:C53">
    <cfRule type="duplicateValues" dxfId="0" priority="1"/>
  </conditionalFormatting>
  <pageMargins left="0.7" right="0.7" top="0.75" bottom="0.75" header="0.3" footer="0.3"/>
  <pageSetup paperSize="9" scale="48" orientation="landscape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47818-11F9-E94B-AAF2-E5A2057F1412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26 June 26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Mac</cp:lastModifiedBy>
  <dcterms:created xsi:type="dcterms:W3CDTF">2026-06-30T18:53:33Z</dcterms:created>
  <dcterms:modified xsi:type="dcterms:W3CDTF">2026-06-30T18:54:10Z</dcterms:modified>
</cp:coreProperties>
</file>