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7EB18DAD-243A-5441-83D0-A194FD8572A5}" xr6:coauthVersionLast="47" xr6:coauthVersionMax="47" xr10:uidLastSave="{00000000-0000-0000-0000-000000000000}"/>
  <bookViews>
    <workbookView xWindow="4340" yWindow="1160" windowWidth="27640" windowHeight="15840" xr2:uid="{8B2C60A5-BFB8-3A45-87EC-2617735F742F}"/>
  </bookViews>
  <sheets>
    <sheet name="28 Apr 25" sheetId="2" r:id="rId1"/>
    <sheet name="Sheet1" sheetId="1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2" l="1"/>
  <c r="H68" i="2"/>
  <c r="F68" i="2"/>
  <c r="I67" i="2"/>
  <c r="K67" i="2" s="1"/>
  <c r="K68" i="2" s="1"/>
  <c r="H58" i="2"/>
  <c r="F58" i="2"/>
  <c r="I57" i="2"/>
  <c r="K57" i="2" s="1"/>
  <c r="I56" i="2"/>
  <c r="K56" i="2" s="1"/>
  <c r="I55" i="2"/>
  <c r="K55" i="2" s="1"/>
  <c r="I54" i="2"/>
  <c r="K54" i="2" s="1"/>
  <c r="I53" i="2"/>
  <c r="K53" i="2" s="1"/>
  <c r="I52" i="2"/>
  <c r="K52" i="2" s="1"/>
  <c r="I51" i="2"/>
  <c r="K51" i="2" s="1"/>
  <c r="K50" i="2"/>
  <c r="I50" i="2"/>
  <c r="I49" i="2"/>
  <c r="K49" i="2" s="1"/>
  <c r="I48" i="2"/>
  <c r="K48" i="2" s="1"/>
  <c r="I47" i="2"/>
  <c r="K47" i="2" s="1"/>
  <c r="K46" i="2"/>
  <c r="I46" i="2"/>
  <c r="I45" i="2"/>
  <c r="K45" i="2" s="1"/>
  <c r="I44" i="2"/>
  <c r="K44" i="2" s="1"/>
  <c r="I43" i="2"/>
  <c r="K43" i="2" s="1"/>
  <c r="K42" i="2"/>
  <c r="I42" i="2"/>
  <c r="I41" i="2"/>
  <c r="K41" i="2" s="1"/>
  <c r="I40" i="2"/>
  <c r="K40" i="2" s="1"/>
  <c r="I39" i="2"/>
  <c r="K39" i="2" s="1"/>
  <c r="K38" i="2"/>
  <c r="I38" i="2"/>
  <c r="I37" i="2"/>
  <c r="K37" i="2" s="1"/>
  <c r="I36" i="2"/>
  <c r="K36" i="2" s="1"/>
  <c r="I35" i="2"/>
  <c r="K35" i="2" s="1"/>
  <c r="K34" i="2"/>
  <c r="I34" i="2"/>
  <c r="I33" i="2"/>
  <c r="K33" i="2" s="1"/>
  <c r="H24" i="2"/>
  <c r="H73" i="2" s="1"/>
  <c r="F24" i="2"/>
  <c r="F73" i="2" s="1"/>
  <c r="I23" i="2"/>
  <c r="K23" i="2" s="1"/>
  <c r="I22" i="2"/>
  <c r="K22" i="2" s="1"/>
  <c r="I21" i="2"/>
  <c r="K21" i="2" s="1"/>
  <c r="K20" i="2"/>
  <c r="I20" i="2"/>
  <c r="I19" i="2"/>
  <c r="K19" i="2" s="1"/>
  <c r="I18" i="2"/>
  <c r="K18" i="2" s="1"/>
  <c r="I17" i="2"/>
  <c r="I24" i="2" s="1"/>
  <c r="H8" i="2"/>
  <c r="F8" i="2"/>
  <c r="J7" i="2"/>
  <c r="K7" i="2" s="1"/>
  <c r="K8" i="2" s="1"/>
  <c r="I7" i="2"/>
  <c r="I8" i="2" s="1"/>
  <c r="K58" i="2" l="1"/>
  <c r="K69" i="2"/>
  <c r="K70" i="2" s="1"/>
  <c r="K9" i="2"/>
  <c r="K10" i="2"/>
  <c r="K17" i="2"/>
  <c r="K24" i="2" s="1"/>
  <c r="I58" i="2"/>
  <c r="I73" i="2" s="1"/>
  <c r="K25" i="2" l="1"/>
  <c r="K26" i="2" s="1"/>
  <c r="K59" i="2"/>
  <c r="K60" i="2"/>
</calcChain>
</file>

<file path=xl/sharedStrings.xml><?xml version="1.0" encoding="utf-8"?>
<sst xmlns="http://schemas.openxmlformats.org/spreadsheetml/2006/main" count="188" uniqueCount="111">
  <si>
    <t>`</t>
  </si>
  <si>
    <t>VARDHAN CABLE INDUSTRIES</t>
  </si>
  <si>
    <t>PACKING DETAILS</t>
  </si>
  <si>
    <t>VENDOR CODE-20300788</t>
  </si>
  <si>
    <t>PO No: POP2202502050019   Dt: 05-02-2025</t>
  </si>
  <si>
    <t>INVOICE NO------</t>
  </si>
  <si>
    <t>28</t>
  </si>
  <si>
    <t>Dt: 28-04-2025</t>
  </si>
  <si>
    <t>SN</t>
  </si>
  <si>
    <t>ITEM CODE</t>
  </si>
  <si>
    <t>COLOUR</t>
  </si>
  <si>
    <t>ORDER</t>
  </si>
  <si>
    <t>AMOUNT</t>
  </si>
  <si>
    <t>3207-01227-01</t>
  </si>
  <si>
    <t>AV 0.5F</t>
  </si>
  <si>
    <t>YELLOW</t>
  </si>
  <si>
    <t>7*400, 1*440</t>
  </si>
  <si>
    <t>PO No: POP2202503060007   Dt: 06-03-2025</t>
  </si>
  <si>
    <t>29</t>
  </si>
  <si>
    <t>3220-00080-07</t>
  </si>
  <si>
    <t>AVSSX 0.5F</t>
  </si>
  <si>
    <t>WHITE/YELLOW</t>
  </si>
  <si>
    <t>6*500</t>
  </si>
  <si>
    <t>3207-01316-53</t>
  </si>
  <si>
    <t>FLRY-B 0.5MM</t>
  </si>
  <si>
    <t>PINK/WHITE</t>
  </si>
  <si>
    <t>5*500, 1*480</t>
  </si>
  <si>
    <t>3220-00054-01</t>
  </si>
  <si>
    <t>AVS 0.5F</t>
  </si>
  <si>
    <t>GREEN/RED</t>
  </si>
  <si>
    <t>4*500, 1*505, 1*495</t>
  </si>
  <si>
    <t>3220-00054-02</t>
  </si>
  <si>
    <t>BLACK/WHITE</t>
  </si>
  <si>
    <t>3220-00054-04</t>
  </si>
  <si>
    <t>GRAY</t>
  </si>
  <si>
    <t>3220-00032-54</t>
  </si>
  <si>
    <t>AVSS 0.5F</t>
  </si>
  <si>
    <t>ORANGE/BLUE</t>
  </si>
  <si>
    <t>5*500, 1*345</t>
  </si>
  <si>
    <t>3220-00032-26</t>
  </si>
  <si>
    <t>BROWN</t>
  </si>
  <si>
    <t>5*500, 1*380</t>
  </si>
  <si>
    <t>PO No: POP2202504080006   Dt: 08-04-2025</t>
  </si>
  <si>
    <t>30</t>
  </si>
  <si>
    <t>3220-00080-02</t>
  </si>
  <si>
    <t>BLUE/RED</t>
  </si>
  <si>
    <t>7*500, 1*360</t>
  </si>
  <si>
    <t>5*500, 1*255</t>
  </si>
  <si>
    <t>3207-01321-11</t>
  </si>
  <si>
    <t>FLRY-B 0.35MM</t>
  </si>
  <si>
    <t>5*500, 1*370</t>
  </si>
  <si>
    <t>3220-00020-37</t>
  </si>
  <si>
    <t>11*500, 1*580</t>
  </si>
  <si>
    <t>3220-00020-38</t>
  </si>
  <si>
    <t>YELLOW/GREEN</t>
  </si>
  <si>
    <t>5*500, 1*550</t>
  </si>
  <si>
    <t>3220-00046-00</t>
  </si>
  <si>
    <t>AV 0.75F</t>
  </si>
  <si>
    <t>GREEN</t>
  </si>
  <si>
    <t>9*400, 1*540</t>
  </si>
  <si>
    <t>3220-00046-01</t>
  </si>
  <si>
    <t>12*400, 1*240</t>
  </si>
  <si>
    <t>3220-00041-00</t>
  </si>
  <si>
    <t>AVSSH 0.5F</t>
  </si>
  <si>
    <t>9*500, 1*355</t>
  </si>
  <si>
    <t>3220-00041-01</t>
  </si>
  <si>
    <t>BLUE/BLACK</t>
  </si>
  <si>
    <t>9*500, 1*365</t>
  </si>
  <si>
    <t>3220-00041-02</t>
  </si>
  <si>
    <t>BROWN/GREEN</t>
  </si>
  <si>
    <t>8*500, 1*475</t>
  </si>
  <si>
    <t>3220-00041-03</t>
  </si>
  <si>
    <t>DARK-GREEN/BLUE</t>
  </si>
  <si>
    <t>9*500, 1*420</t>
  </si>
  <si>
    <t>3220-00041-04</t>
  </si>
  <si>
    <t>GRAY/BLUE</t>
  </si>
  <si>
    <t>9*500, 1*395</t>
  </si>
  <si>
    <t>3220-00041-06</t>
  </si>
  <si>
    <t>VIOLET/RED</t>
  </si>
  <si>
    <t>3220-00041-07</t>
  </si>
  <si>
    <t>9*500, 1*360</t>
  </si>
  <si>
    <t>3220-00019-16</t>
  </si>
  <si>
    <t>7*400, 1*455</t>
  </si>
  <si>
    <t>3220-00019-17</t>
  </si>
  <si>
    <t>WHITE/RED</t>
  </si>
  <si>
    <t>9*400, 1*495</t>
  </si>
  <si>
    <t>3220-00020-40</t>
  </si>
  <si>
    <t>BLACK/LIGHT-GREEN</t>
  </si>
  <si>
    <t>22*500, 1*565, 1*555</t>
  </si>
  <si>
    <t>3220-00020-34</t>
  </si>
  <si>
    <t>BLACK</t>
  </si>
  <si>
    <t>55*500, 1*540, 1*360, 1*610, 1*460, 1*390, 1*585</t>
  </si>
  <si>
    <t>3220-00020-32</t>
  </si>
  <si>
    <t>GREEN/YELLOW</t>
  </si>
  <si>
    <t>55*500, 1*565, 1*535, 1*525, 1*495, 1*490</t>
  </si>
  <si>
    <t>5*500, 1*325</t>
  </si>
  <si>
    <t>5*500, 1*330</t>
  </si>
  <si>
    <t>5*500, 1*410</t>
  </si>
  <si>
    <t>3220-00020-45</t>
  </si>
  <si>
    <t>YELLOW/RED</t>
  </si>
  <si>
    <t>11*500, 1*545</t>
  </si>
  <si>
    <t>3220-00020-33</t>
  </si>
  <si>
    <t>22*500, 1*635, 1*580</t>
  </si>
  <si>
    <t>3220-00032-57</t>
  </si>
  <si>
    <t>BROWN/BLACK</t>
  </si>
  <si>
    <t>5*500, 1*415</t>
  </si>
  <si>
    <t>PO No: POP2202504160006   Dt: 16-04-2025</t>
  </si>
  <si>
    <t>31</t>
  </si>
  <si>
    <t>3220-00068-01</t>
  </si>
  <si>
    <t>VIOLET/WHITE</t>
  </si>
  <si>
    <t>5*500, 1*360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</si>
</sst>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###,###,###,###,##0"/>
    <numFmt numFmtId="166" formatCode="###,###,###,###,##0.00"/>
  </numFmts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1"/>
      <name val="Segoe UI"/>
      <family val="2"/>
    </font>
    <font>
      <sz val="11"/>
      <color theme="1"/>
      <name val="Segoe UI"/>
      <family val="2"/>
    </font>
    <font>
      <b/>
      <sz val="9"/>
      <name val="Segoe UI"/>
      <family val="2"/>
    </font>
    <font>
      <b/>
      <sz val="8"/>
      <name val="Segoe U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2" fillId="0" borderId="1" xfId="1" applyFont="1" applyBorder="1" applyAlignment="1">
      <alignment horizontal="center"/>
    </xf>
    <xf numFmtId="0" fontId="4" fillId="0" borderId="0" xfId="1" applyFont="1" applyAlignment="1">
      <alignment horizontal="left"/>
    </xf>
    <xf numFmtId="0" fontId="5" fillId="0" borderId="0" xfId="1" applyFont="1"/>
    <xf numFmtId="0" fontId="2" fillId="0" borderId="2" xfId="1" applyFont="1" applyBorder="1"/>
    <xf numFmtId="0" fontId="6" fillId="0" borderId="2" xfId="1" applyFont="1" applyBorder="1" applyAlignment="1">
      <alignment horizontal="left"/>
    </xf>
    <xf numFmtId="49" fontId="7" fillId="0" borderId="3" xfId="1" applyNumberFormat="1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16" fontId="2" fillId="0" borderId="5" xfId="1" applyNumberFormat="1" applyFont="1" applyBorder="1" applyAlignment="1">
      <alignment horizontal="center"/>
    </xf>
    <xf numFmtId="0" fontId="4" fillId="0" borderId="5" xfId="1" applyFont="1" applyBorder="1"/>
    <xf numFmtId="0" fontId="2" fillId="0" borderId="5" xfId="1" applyFont="1" applyBorder="1"/>
    <xf numFmtId="0" fontId="3" fillId="0" borderId="5" xfId="1" applyFont="1" applyBorder="1" applyAlignment="1">
      <alignment horizontal="center"/>
    </xf>
    <xf numFmtId="0" fontId="2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left"/>
    </xf>
    <xf numFmtId="0" fontId="4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wrapText="1"/>
    </xf>
    <xf numFmtId="165" fontId="9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2" fontId="8" fillId="0" borderId="13" xfId="1" applyNumberFormat="1" applyFont="1" applyBorder="1" applyAlignment="1">
      <alignment horizontal="center" vertical="center"/>
    </xf>
    <xf numFmtId="2" fontId="8" fillId="0" borderId="14" xfId="1" applyNumberFormat="1" applyFont="1" applyBorder="1" applyAlignment="1">
      <alignment horizontal="center" vertical="center"/>
    </xf>
    <xf numFmtId="0" fontId="10" fillId="0" borderId="15" xfId="1" applyFont="1" applyBorder="1"/>
    <xf numFmtId="0" fontId="9" fillId="0" borderId="16" xfId="1" applyFont="1" applyBorder="1" applyAlignment="1">
      <alignment horizontal="left"/>
    </xf>
    <xf numFmtId="0" fontId="9" fillId="0" borderId="16" xfId="1" applyFont="1" applyBorder="1" applyAlignment="1">
      <alignment horizontal="center"/>
    </xf>
    <xf numFmtId="0" fontId="9" fillId="0" borderId="17" xfId="1" applyFont="1" applyBorder="1"/>
    <xf numFmtId="165" fontId="8" fillId="0" borderId="10" xfId="1" applyNumberFormat="1" applyFont="1" applyBorder="1" applyAlignment="1">
      <alignment horizontal="center"/>
    </xf>
    <xf numFmtId="0" fontId="10" fillId="0" borderId="10" xfId="1" applyFont="1" applyBorder="1"/>
    <xf numFmtId="166" fontId="8" fillId="0" borderId="10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10" fillId="0" borderId="0" xfId="1" applyFont="1"/>
    <xf numFmtId="165" fontId="8" fillId="0" borderId="0" xfId="1" applyNumberFormat="1" applyFont="1" applyAlignment="1">
      <alignment horizontal="center"/>
    </xf>
    <xf numFmtId="9" fontId="8" fillId="0" borderId="0" xfId="1" applyNumberFormat="1" applyFont="1" applyAlignment="1">
      <alignment horizontal="center"/>
    </xf>
    <xf numFmtId="2" fontId="10" fillId="0" borderId="13" xfId="1" applyNumberFormat="1" applyFont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165" fontId="10" fillId="0" borderId="0" xfId="1" applyNumberFormat="1" applyFont="1"/>
    <xf numFmtId="165" fontId="8" fillId="0" borderId="0" xfId="1" applyNumberFormat="1" applyFont="1"/>
    <xf numFmtId="2" fontId="8" fillId="0" borderId="6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165" fontId="9" fillId="0" borderId="1" xfId="1" applyNumberFormat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" xfId="1" applyFont="1" applyBorder="1" applyAlignment="1">
      <alignment vertical="center"/>
    </xf>
    <xf numFmtId="165" fontId="1" fillId="0" borderId="0" xfId="1" applyNumberFormat="1"/>
    <xf numFmtId="165" fontId="3" fillId="0" borderId="0" xfId="1" applyNumberFormat="1" applyFont="1" applyAlignment="1">
      <alignment horizontal="center"/>
    </xf>
    <xf numFmtId="0" fontId="12" fillId="0" borderId="12" xfId="1" applyFont="1" applyBorder="1" applyAlignment="1">
      <alignment horizontal="center" vertical="center"/>
    </xf>
  </cellXfs>
  <cellStyles count="2">
    <cellStyle name="Normal" xfId="0" builtinId="0"/>
    <cellStyle name="Normal 2 3" xfId="1" xr:uid="{EFEC3BE8-ABDF-9644-B1B9-87A7756AC52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urabhgupta/Desktop/Cable%20Manf/Eln/PO%20/(P)%205%20FEB%2025%20POP2202502050019%20VARDH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Gener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D769-8DD5-5242-A016-05B9C66D1070}">
  <sheetPr>
    <pageSetUpPr fitToPage="1"/>
  </sheetPr>
  <dimension ref="B2:K73"/>
  <sheetViews>
    <sheetView tabSelected="1" zoomScale="168" workbookViewId="0">
      <selection activeCell="D7" sqref="D7"/>
    </sheetView>
  </sheetViews>
  <sheetFormatPr baseColWidth="10" defaultColWidth="8.83203125" defaultRowHeight="15" x14ac:dyDescent="0.2"/>
  <cols>
    <col min="1" max="1" width="8.83203125" style="54"/>
    <col min="2" max="2" width="3.33203125" style="54" bestFit="1" customWidth="1"/>
    <col min="3" max="3" width="19.1640625" style="54" customWidth="1"/>
    <col min="4" max="4" width="11.5" style="54" bestFit="1" customWidth="1"/>
    <col min="5" max="5" width="20.5" style="54" customWidth="1"/>
    <col min="6" max="6" width="10.6640625" style="54" bestFit="1" customWidth="1"/>
    <col min="7" max="7" width="23.1640625" style="54" customWidth="1"/>
    <col min="8" max="8" width="7.1640625" style="54" bestFit="1" customWidth="1"/>
    <col min="9" max="9" width="8.6640625" style="54" bestFit="1" customWidth="1"/>
    <col min="10" max="10" width="6.1640625" style="54" bestFit="1" customWidth="1"/>
    <col min="11" max="11" width="12.33203125" style="54" bestFit="1" customWidth="1"/>
    <col min="12" max="16384" width="8.83203125" style="54"/>
  </cols>
  <sheetData>
    <row r="2" spans="2:11" customFormat="1" ht="16" x14ac:dyDescent="0.2">
      <c r="B2" s="1"/>
      <c r="C2" s="2" t="s">
        <v>0</v>
      </c>
      <c r="D2" s="3"/>
      <c r="E2" s="4" t="s">
        <v>1</v>
      </c>
      <c r="F2" s="3"/>
      <c r="G2" s="1"/>
      <c r="H2" s="5"/>
      <c r="I2" s="5"/>
      <c r="J2" s="4"/>
      <c r="K2" s="6"/>
    </row>
    <row r="3" spans="2:11" customFormat="1" ht="16" x14ac:dyDescent="0.2">
      <c r="B3" s="1"/>
      <c r="C3" s="7" t="s">
        <v>2</v>
      </c>
      <c r="D3" s="8"/>
      <c r="E3" s="9" t="s">
        <v>3</v>
      </c>
      <c r="F3" s="10"/>
      <c r="G3" s="5"/>
      <c r="H3" s="5"/>
      <c r="I3" s="5"/>
      <c r="J3" s="4"/>
      <c r="K3" s="1"/>
    </row>
    <row r="4" spans="2:11" customFormat="1" ht="17" thickBot="1" x14ac:dyDescent="0.25">
      <c r="B4" s="1"/>
      <c r="C4" s="11" t="s">
        <v>4</v>
      </c>
      <c r="D4" s="3"/>
      <c r="E4" s="6"/>
      <c r="F4" s="3"/>
      <c r="G4" s="12"/>
      <c r="H4" s="4"/>
      <c r="I4" s="5"/>
      <c r="J4" s="5"/>
      <c r="K4" s="1"/>
    </row>
    <row r="5" spans="2:11" customFormat="1" ht="22" thickBot="1" x14ac:dyDescent="0.35">
      <c r="B5" s="13"/>
      <c r="C5" s="14" t="s">
        <v>5</v>
      </c>
      <c r="D5" s="15" t="s">
        <v>6</v>
      </c>
      <c r="E5" s="16" t="s">
        <v>7</v>
      </c>
      <c r="F5" s="17"/>
      <c r="G5" s="18"/>
      <c r="H5" s="19"/>
      <c r="I5" s="20"/>
      <c r="J5" s="20"/>
      <c r="K5" s="21"/>
    </row>
    <row r="6" spans="2:11" customFormat="1" ht="17" thickBot="1" x14ac:dyDescent="0.25">
      <c r="B6" s="22" t="s">
        <v>8</v>
      </c>
      <c r="C6" s="23" t="s">
        <v>9</v>
      </c>
      <c r="D6" s="24"/>
      <c r="E6" s="25" t="s">
        <v>10</v>
      </c>
      <c r="F6" s="22" t="s">
        <v>11</v>
      </c>
      <c r="G6" s="25"/>
      <c r="H6" s="22"/>
      <c r="I6" s="26"/>
      <c r="J6" s="27"/>
      <c r="K6" s="28" t="s">
        <v>12</v>
      </c>
    </row>
    <row r="7" spans="2:11" customFormat="1" ht="18" thickBot="1" x14ac:dyDescent="0.3">
      <c r="B7" s="29">
        <v>1</v>
      </c>
      <c r="C7" s="30" t="s">
        <v>13</v>
      </c>
      <c r="D7" s="31" t="s">
        <v>14</v>
      </c>
      <c r="E7" s="32" t="s">
        <v>15</v>
      </c>
      <c r="F7" s="33">
        <v>3200</v>
      </c>
      <c r="G7" s="34" t="s">
        <v>16</v>
      </c>
      <c r="H7" s="35">
        <v>8</v>
      </c>
      <c r="I7" s="36">
        <f>400*7+440</f>
        <v>3240</v>
      </c>
      <c r="J7" s="37" t="e">
        <f>VLOOKUP(C7,'[1]PO General'!$A$7:$F$92,6,FALSE)</f>
        <v>#N/A</v>
      </c>
      <c r="K7" s="38" t="e">
        <f>+I7*J7</f>
        <v>#N/A</v>
      </c>
    </row>
    <row r="8" spans="2:11" customFormat="1" ht="18" thickBot="1" x14ac:dyDescent="0.3">
      <c r="B8" s="39"/>
      <c r="C8" s="40"/>
      <c r="D8" s="41"/>
      <c r="E8" s="42"/>
      <c r="F8" s="43">
        <f>SUM(F7:F7)</f>
        <v>3200</v>
      </c>
      <c r="G8" s="44"/>
      <c r="H8" s="43">
        <f>SUM(H7:H7)</f>
        <v>8</v>
      </c>
      <c r="I8" s="43">
        <f>SUM(I7:I7)</f>
        <v>3240</v>
      </c>
      <c r="J8" s="43"/>
      <c r="K8" s="45" t="e">
        <f>SUM(K7:K7)</f>
        <v>#N/A</v>
      </c>
    </row>
    <row r="9" spans="2:11" customFormat="1" ht="18" thickBot="1" x14ac:dyDescent="0.3">
      <c r="B9" s="46"/>
      <c r="C9" s="47"/>
      <c r="D9" s="48"/>
      <c r="E9" s="47"/>
      <c r="F9" s="49"/>
      <c r="G9" s="50"/>
      <c r="H9" s="51"/>
      <c r="I9" s="50"/>
      <c r="J9" s="52">
        <v>0.18</v>
      </c>
      <c r="K9" s="53" t="e">
        <f>+K8*0.18</f>
        <v>#N/A</v>
      </c>
    </row>
    <row r="10" spans="2:11" customFormat="1" ht="18" thickBot="1" x14ac:dyDescent="0.3">
      <c r="B10" s="54"/>
      <c r="C10" s="54"/>
      <c r="D10" s="54"/>
      <c r="E10" s="54"/>
      <c r="F10" s="55"/>
      <c r="G10" s="56"/>
      <c r="H10" s="57"/>
      <c r="I10" s="57"/>
      <c r="J10" s="46"/>
      <c r="K10" s="58" t="e">
        <f>+K8+K9</f>
        <v>#N/A</v>
      </c>
    </row>
    <row r="11" spans="2:11" customFormat="1" ht="16" x14ac:dyDescent="0.2"/>
    <row r="12" spans="2:11" ht="18" customHeight="1" x14ac:dyDescent="0.2">
      <c r="B12" s="1"/>
      <c r="C12" s="2" t="s">
        <v>0</v>
      </c>
      <c r="D12" s="3"/>
      <c r="E12" s="4" t="s">
        <v>1</v>
      </c>
      <c r="F12" s="3"/>
      <c r="G12" s="1"/>
      <c r="H12" s="5"/>
      <c r="I12" s="5"/>
      <c r="J12" s="4"/>
      <c r="K12" s="6"/>
    </row>
    <row r="13" spans="2:11" ht="18" customHeight="1" x14ac:dyDescent="0.2">
      <c r="B13" s="1"/>
      <c r="C13" s="7" t="s">
        <v>2</v>
      </c>
      <c r="D13" s="8"/>
      <c r="E13" s="9" t="s">
        <v>3</v>
      </c>
      <c r="F13" s="10"/>
      <c r="G13" s="5"/>
      <c r="H13" s="5"/>
      <c r="I13" s="5"/>
      <c r="J13" s="4"/>
      <c r="K13" s="1"/>
    </row>
    <row r="14" spans="2:11" ht="18" customHeight="1" thickBot="1" x14ac:dyDescent="0.25">
      <c r="B14" s="1"/>
      <c r="C14" s="11" t="s">
        <v>17</v>
      </c>
      <c r="D14" s="3"/>
      <c r="E14" s="6"/>
      <c r="F14" s="3"/>
      <c r="G14" s="12"/>
      <c r="H14" s="4"/>
      <c r="I14" s="5"/>
      <c r="J14" s="5"/>
      <c r="K14" s="1"/>
    </row>
    <row r="15" spans="2:11" ht="18" customHeight="1" thickBot="1" x14ac:dyDescent="0.35">
      <c r="B15" s="13"/>
      <c r="C15" s="14" t="s">
        <v>5</v>
      </c>
      <c r="D15" s="15" t="s">
        <v>18</v>
      </c>
      <c r="E15" s="16" t="s">
        <v>7</v>
      </c>
      <c r="F15" s="17"/>
      <c r="G15" s="18"/>
      <c r="H15" s="19"/>
      <c r="I15" s="20"/>
      <c r="J15" s="20"/>
      <c r="K15" s="21"/>
    </row>
    <row r="16" spans="2:11" ht="18" customHeight="1" thickBot="1" x14ac:dyDescent="0.25">
      <c r="B16" s="22" t="s">
        <v>8</v>
      </c>
      <c r="C16" s="23" t="s">
        <v>9</v>
      </c>
      <c r="D16" s="24"/>
      <c r="E16" s="25" t="s">
        <v>10</v>
      </c>
      <c r="F16" s="22" t="s">
        <v>11</v>
      </c>
      <c r="G16" s="25"/>
      <c r="H16" s="22"/>
      <c r="I16" s="26"/>
      <c r="J16" s="27"/>
      <c r="K16" s="28" t="s">
        <v>12</v>
      </c>
    </row>
    <row r="17" spans="2:11" ht="17" x14ac:dyDescent="0.25">
      <c r="B17" s="59">
        <v>1</v>
      </c>
      <c r="C17" s="60" t="s">
        <v>19</v>
      </c>
      <c r="D17" s="61" t="s">
        <v>20</v>
      </c>
      <c r="E17" s="62" t="s">
        <v>21</v>
      </c>
      <c r="F17" s="63">
        <v>3000</v>
      </c>
      <c r="G17" s="34" t="s">
        <v>22</v>
      </c>
      <c r="H17" s="35">
        <v>6</v>
      </c>
      <c r="I17" s="36">
        <f>500*6</f>
        <v>3000</v>
      </c>
      <c r="J17" s="64">
        <v>4.7</v>
      </c>
      <c r="K17" s="38">
        <f t="shared" ref="K17:K23" si="0">I17*J17</f>
        <v>14100</v>
      </c>
    </row>
    <row r="18" spans="2:11" ht="18" customHeight="1" x14ac:dyDescent="0.25">
      <c r="B18" s="59">
        <v>2</v>
      </c>
      <c r="C18" s="65" t="s">
        <v>23</v>
      </c>
      <c r="D18" s="66" t="s">
        <v>24</v>
      </c>
      <c r="E18" s="67" t="s">
        <v>25</v>
      </c>
      <c r="F18" s="63">
        <v>3000</v>
      </c>
      <c r="G18" s="34" t="s">
        <v>26</v>
      </c>
      <c r="H18" s="35">
        <v>6</v>
      </c>
      <c r="I18" s="36">
        <f>500*5+480</f>
        <v>2980</v>
      </c>
      <c r="J18" s="64">
        <v>4.29</v>
      </c>
      <c r="K18" s="38">
        <f t="shared" si="0"/>
        <v>12784.2</v>
      </c>
    </row>
    <row r="19" spans="2:11" ht="17" x14ac:dyDescent="0.25">
      <c r="B19" s="59">
        <v>3</v>
      </c>
      <c r="C19" s="60" t="s">
        <v>27</v>
      </c>
      <c r="D19" s="61" t="s">
        <v>28</v>
      </c>
      <c r="E19" s="62" t="s">
        <v>29</v>
      </c>
      <c r="F19" s="63">
        <v>3000</v>
      </c>
      <c r="G19" s="34" t="s">
        <v>30</v>
      </c>
      <c r="H19" s="35">
        <v>6</v>
      </c>
      <c r="I19" s="36">
        <f>500*4+505+495</f>
        <v>3000</v>
      </c>
      <c r="J19" s="64">
        <v>4.6500000000000004</v>
      </c>
      <c r="K19" s="38">
        <f>I19*J19</f>
        <v>13950.000000000002</v>
      </c>
    </row>
    <row r="20" spans="2:11" ht="17" x14ac:dyDescent="0.25">
      <c r="B20" s="59">
        <v>4</v>
      </c>
      <c r="C20" s="60" t="s">
        <v>31</v>
      </c>
      <c r="D20" s="61" t="s">
        <v>28</v>
      </c>
      <c r="E20" s="68" t="s">
        <v>32</v>
      </c>
      <c r="F20" s="63">
        <v>3000</v>
      </c>
      <c r="G20" s="34" t="s">
        <v>22</v>
      </c>
      <c r="H20" s="35">
        <v>6</v>
      </c>
      <c r="I20" s="36">
        <f>500*6</f>
        <v>3000</v>
      </c>
      <c r="J20" s="64">
        <v>4.6500000000000004</v>
      </c>
      <c r="K20" s="38">
        <f t="shared" si="0"/>
        <v>13950.000000000002</v>
      </c>
    </row>
    <row r="21" spans="2:11" ht="17" x14ac:dyDescent="0.25">
      <c r="B21" s="59">
        <v>5</v>
      </c>
      <c r="C21" s="60" t="s">
        <v>33</v>
      </c>
      <c r="D21" s="61" t="s">
        <v>28</v>
      </c>
      <c r="E21" s="62" t="s">
        <v>34</v>
      </c>
      <c r="F21" s="63">
        <v>3000</v>
      </c>
      <c r="G21" s="34" t="s">
        <v>22</v>
      </c>
      <c r="H21" s="35">
        <v>6</v>
      </c>
      <c r="I21" s="36">
        <f>500*6</f>
        <v>3000</v>
      </c>
      <c r="J21" s="64">
        <v>4.6500000000000004</v>
      </c>
      <c r="K21" s="38">
        <f t="shared" si="0"/>
        <v>13950.000000000002</v>
      </c>
    </row>
    <row r="22" spans="2:11" ht="17" x14ac:dyDescent="0.25">
      <c r="B22" s="59">
        <v>6</v>
      </c>
      <c r="C22" s="60" t="s">
        <v>35</v>
      </c>
      <c r="D22" s="61" t="s">
        <v>36</v>
      </c>
      <c r="E22" s="62" t="s">
        <v>37</v>
      </c>
      <c r="F22" s="63">
        <v>3000</v>
      </c>
      <c r="G22" s="34" t="s">
        <v>38</v>
      </c>
      <c r="H22" s="35">
        <v>6</v>
      </c>
      <c r="I22" s="36">
        <f>500*5+345</f>
        <v>2845</v>
      </c>
      <c r="J22" s="64">
        <v>4.7300000000000004</v>
      </c>
      <c r="K22" s="38">
        <f t="shared" si="0"/>
        <v>13456.85</v>
      </c>
    </row>
    <row r="23" spans="2:11" ht="18" thickBot="1" x14ac:dyDescent="0.3">
      <c r="B23" s="59">
        <v>7</v>
      </c>
      <c r="C23" s="60" t="s">
        <v>39</v>
      </c>
      <c r="D23" s="61" t="s">
        <v>36</v>
      </c>
      <c r="E23" s="68" t="s">
        <v>40</v>
      </c>
      <c r="F23" s="63">
        <v>3000</v>
      </c>
      <c r="G23" s="34" t="s">
        <v>41</v>
      </c>
      <c r="H23" s="35">
        <v>6</v>
      </c>
      <c r="I23" s="36">
        <f>500*5+380</f>
        <v>2880</v>
      </c>
      <c r="J23" s="64">
        <v>4.7300000000000004</v>
      </c>
      <c r="K23" s="38">
        <f t="shared" si="0"/>
        <v>13622.400000000001</v>
      </c>
    </row>
    <row r="24" spans="2:11" ht="18" customHeight="1" thickBot="1" x14ac:dyDescent="0.3">
      <c r="B24" s="39"/>
      <c r="C24" s="40"/>
      <c r="D24" s="41"/>
      <c r="E24" s="42"/>
      <c r="F24" s="43">
        <f>SUM(F17:F23)</f>
        <v>21000</v>
      </c>
      <c r="G24" s="44"/>
      <c r="H24" s="43">
        <f>SUM(H17:H23)</f>
        <v>42</v>
      </c>
      <c r="I24" s="43">
        <f>SUM(I17:I23)</f>
        <v>20705</v>
      </c>
      <c r="J24" s="43"/>
      <c r="K24" s="45">
        <f>SUM(K17:K23)</f>
        <v>95813.450000000012</v>
      </c>
    </row>
    <row r="25" spans="2:11" ht="18" customHeight="1" thickBot="1" x14ac:dyDescent="0.3">
      <c r="B25" s="46"/>
      <c r="C25" s="47"/>
      <c r="D25" s="48"/>
      <c r="E25" s="47"/>
      <c r="F25" s="49"/>
      <c r="G25" s="50"/>
      <c r="H25" s="51"/>
      <c r="I25" s="50"/>
      <c r="J25" s="52">
        <v>0.18</v>
      </c>
      <c r="K25" s="53">
        <f>+K24*0.18</f>
        <v>17246.421000000002</v>
      </c>
    </row>
    <row r="26" spans="2:11" ht="18" customHeight="1" thickBot="1" x14ac:dyDescent="0.3">
      <c r="J26" s="46"/>
      <c r="K26" s="58">
        <f>+K24+K25</f>
        <v>113059.87100000001</v>
      </c>
    </row>
    <row r="27" spans="2:11" x14ac:dyDescent="0.2">
      <c r="F27" s="69"/>
      <c r="H27" s="69"/>
      <c r="I27" s="69"/>
    </row>
    <row r="28" spans="2:11" x14ac:dyDescent="0.2">
      <c r="B28" s="1"/>
      <c r="C28" s="2" t="s">
        <v>0</v>
      </c>
      <c r="D28" s="3"/>
      <c r="E28" s="4" t="s">
        <v>1</v>
      </c>
      <c r="F28" s="3"/>
      <c r="G28" s="1"/>
      <c r="H28" s="70"/>
      <c r="I28" s="5"/>
      <c r="J28" s="4"/>
      <c r="K28" s="6"/>
    </row>
    <row r="29" spans="2:11" x14ac:dyDescent="0.2">
      <c r="B29" s="1"/>
      <c r="C29" s="7" t="s">
        <v>2</v>
      </c>
      <c r="D29" s="8"/>
      <c r="E29" s="9" t="s">
        <v>3</v>
      </c>
      <c r="F29" s="10"/>
      <c r="G29" s="5"/>
      <c r="H29" s="5"/>
      <c r="I29" s="5"/>
      <c r="J29" s="4"/>
      <c r="K29" s="1"/>
    </row>
    <row r="30" spans="2:11" ht="16" thickBot="1" x14ac:dyDescent="0.25">
      <c r="B30" s="1"/>
      <c r="C30" s="11" t="s">
        <v>42</v>
      </c>
      <c r="D30" s="3"/>
      <c r="E30" s="6"/>
      <c r="F30" s="3"/>
      <c r="G30" s="12"/>
      <c r="H30" s="4"/>
      <c r="I30" s="5"/>
      <c r="J30" s="5"/>
      <c r="K30" s="1"/>
    </row>
    <row r="31" spans="2:11" ht="22" thickBot="1" x14ac:dyDescent="0.35">
      <c r="B31" s="13"/>
      <c r="C31" s="14" t="s">
        <v>5</v>
      </c>
      <c r="D31" s="15" t="s">
        <v>43</v>
      </c>
      <c r="E31" s="16" t="s">
        <v>7</v>
      </c>
      <c r="F31" s="17"/>
      <c r="G31" s="18"/>
      <c r="H31" s="19"/>
      <c r="I31" s="20"/>
      <c r="J31" s="20"/>
      <c r="K31" s="21"/>
    </row>
    <row r="32" spans="2:11" ht="16" thickBot="1" x14ac:dyDescent="0.25">
      <c r="B32" s="22" t="s">
        <v>8</v>
      </c>
      <c r="C32" s="23" t="s">
        <v>9</v>
      </c>
      <c r="D32" s="24"/>
      <c r="E32" s="25" t="s">
        <v>10</v>
      </c>
      <c r="F32" s="22" t="s">
        <v>11</v>
      </c>
      <c r="G32" s="25"/>
      <c r="H32" s="22"/>
      <c r="I32" s="26"/>
      <c r="J32" s="27"/>
      <c r="K32" s="28" t="s">
        <v>12</v>
      </c>
    </row>
    <row r="33" spans="2:11" ht="18" customHeight="1" x14ac:dyDescent="0.25">
      <c r="B33" s="59">
        <v>1</v>
      </c>
      <c r="C33" s="65" t="s">
        <v>44</v>
      </c>
      <c r="D33" s="61" t="s">
        <v>20</v>
      </c>
      <c r="E33" s="67" t="s">
        <v>45</v>
      </c>
      <c r="F33" s="63">
        <v>4000</v>
      </c>
      <c r="G33" s="34" t="s">
        <v>46</v>
      </c>
      <c r="H33" s="35">
        <v>8</v>
      </c>
      <c r="I33" s="36">
        <f>500*7+360</f>
        <v>3860</v>
      </c>
      <c r="J33" s="64">
        <v>4.91</v>
      </c>
      <c r="K33" s="38">
        <f>I33*J33</f>
        <v>18952.600000000002</v>
      </c>
    </row>
    <row r="34" spans="2:11" ht="18" customHeight="1" x14ac:dyDescent="0.25">
      <c r="B34" s="59">
        <v>2</v>
      </c>
      <c r="C34" s="65" t="s">
        <v>19</v>
      </c>
      <c r="D34" s="61" t="s">
        <v>20</v>
      </c>
      <c r="E34" s="67" t="s">
        <v>21</v>
      </c>
      <c r="F34" s="63">
        <v>3000</v>
      </c>
      <c r="G34" s="34" t="s">
        <v>47</v>
      </c>
      <c r="H34" s="35">
        <v>6</v>
      </c>
      <c r="I34" s="36">
        <f>500*5+255</f>
        <v>2755</v>
      </c>
      <c r="J34" s="64">
        <v>4.91</v>
      </c>
      <c r="K34" s="38">
        <f t="shared" ref="K34:K57" si="1">I34*J34</f>
        <v>13527.050000000001</v>
      </c>
    </row>
    <row r="35" spans="2:11" ht="17" x14ac:dyDescent="0.25">
      <c r="B35" s="59">
        <v>3</v>
      </c>
      <c r="C35" s="60" t="s">
        <v>48</v>
      </c>
      <c r="D35" s="71" t="s">
        <v>49</v>
      </c>
      <c r="E35" s="62" t="s">
        <v>40</v>
      </c>
      <c r="F35" s="63">
        <v>3000</v>
      </c>
      <c r="G35" s="34" t="s">
        <v>50</v>
      </c>
      <c r="H35" s="35">
        <v>6</v>
      </c>
      <c r="I35" s="36">
        <f>500*5+370</f>
        <v>2870</v>
      </c>
      <c r="J35" s="64">
        <v>3.38</v>
      </c>
      <c r="K35" s="38">
        <f t="shared" si="1"/>
        <v>9700.6</v>
      </c>
    </row>
    <row r="36" spans="2:11" ht="17" x14ac:dyDescent="0.25">
      <c r="B36" s="59">
        <v>4</v>
      </c>
      <c r="C36" s="60" t="s">
        <v>51</v>
      </c>
      <c r="D36" s="61" t="s">
        <v>36</v>
      </c>
      <c r="E36" s="68" t="s">
        <v>40</v>
      </c>
      <c r="F36" s="63">
        <v>6000</v>
      </c>
      <c r="G36" s="34" t="s">
        <v>52</v>
      </c>
      <c r="H36" s="35">
        <v>12</v>
      </c>
      <c r="I36" s="36">
        <f>500*11+580</f>
        <v>6080</v>
      </c>
      <c r="J36" s="64">
        <v>4.7</v>
      </c>
      <c r="K36" s="38">
        <f t="shared" si="1"/>
        <v>28576</v>
      </c>
    </row>
    <row r="37" spans="2:11" ht="17" x14ac:dyDescent="0.25">
      <c r="B37" s="59">
        <v>5</v>
      </c>
      <c r="C37" s="60" t="s">
        <v>53</v>
      </c>
      <c r="D37" s="61" t="s">
        <v>36</v>
      </c>
      <c r="E37" s="62" t="s">
        <v>54</v>
      </c>
      <c r="F37" s="63">
        <v>3000</v>
      </c>
      <c r="G37" s="34" t="s">
        <v>55</v>
      </c>
      <c r="H37" s="35">
        <v>6</v>
      </c>
      <c r="I37" s="36">
        <f>500*5+550</f>
        <v>3050</v>
      </c>
      <c r="J37" s="64">
        <v>4.7</v>
      </c>
      <c r="K37" s="38">
        <f t="shared" si="1"/>
        <v>14335</v>
      </c>
    </row>
    <row r="38" spans="2:11" ht="17" x14ac:dyDescent="0.25">
      <c r="B38" s="59">
        <v>6</v>
      </c>
      <c r="C38" s="60" t="s">
        <v>56</v>
      </c>
      <c r="D38" s="61" t="s">
        <v>57</v>
      </c>
      <c r="E38" s="62" t="s">
        <v>58</v>
      </c>
      <c r="F38" s="63">
        <v>4000</v>
      </c>
      <c r="G38" s="34" t="s">
        <v>59</v>
      </c>
      <c r="H38" s="35">
        <v>10</v>
      </c>
      <c r="I38" s="36">
        <f>400*9+540</f>
        <v>4140</v>
      </c>
      <c r="J38" s="64">
        <v>7.21</v>
      </c>
      <c r="K38" s="38">
        <f t="shared" si="1"/>
        <v>29849.4</v>
      </c>
    </row>
    <row r="39" spans="2:11" ht="18" customHeight="1" x14ac:dyDescent="0.25">
      <c r="B39" s="59">
        <v>7</v>
      </c>
      <c r="C39" s="65" t="s">
        <v>60</v>
      </c>
      <c r="D39" s="61" t="s">
        <v>57</v>
      </c>
      <c r="E39" s="67" t="s">
        <v>32</v>
      </c>
      <c r="F39" s="63">
        <v>4800</v>
      </c>
      <c r="G39" s="34" t="s">
        <v>61</v>
      </c>
      <c r="H39" s="35">
        <v>13</v>
      </c>
      <c r="I39" s="36">
        <f>400*12+240</f>
        <v>5040</v>
      </c>
      <c r="J39" s="64">
        <v>7.21</v>
      </c>
      <c r="K39" s="38">
        <f t="shared" si="1"/>
        <v>36338.400000000001</v>
      </c>
    </row>
    <row r="40" spans="2:11" ht="18" customHeight="1" x14ac:dyDescent="0.25">
      <c r="B40" s="59">
        <v>8</v>
      </c>
      <c r="C40" s="65" t="s">
        <v>62</v>
      </c>
      <c r="D40" s="61" t="s">
        <v>63</v>
      </c>
      <c r="E40" s="67" t="s">
        <v>21</v>
      </c>
      <c r="F40" s="63">
        <v>5000</v>
      </c>
      <c r="G40" s="34" t="s">
        <v>64</v>
      </c>
      <c r="H40" s="35">
        <v>10</v>
      </c>
      <c r="I40" s="36">
        <f>500*9+355</f>
        <v>4855</v>
      </c>
      <c r="J40" s="64">
        <v>4.99</v>
      </c>
      <c r="K40" s="38">
        <f t="shared" si="1"/>
        <v>24226.45</v>
      </c>
    </row>
    <row r="41" spans="2:11" ht="17" x14ac:dyDescent="0.25">
      <c r="B41" s="59">
        <v>9</v>
      </c>
      <c r="C41" s="60" t="s">
        <v>65</v>
      </c>
      <c r="D41" s="61" t="s">
        <v>63</v>
      </c>
      <c r="E41" s="62" t="s">
        <v>66</v>
      </c>
      <c r="F41" s="63">
        <v>5000</v>
      </c>
      <c r="G41" s="34" t="s">
        <v>67</v>
      </c>
      <c r="H41" s="35">
        <v>10</v>
      </c>
      <c r="I41" s="36">
        <f>500*9+365</f>
        <v>4865</v>
      </c>
      <c r="J41" s="64">
        <v>4.99</v>
      </c>
      <c r="K41" s="38">
        <f t="shared" si="1"/>
        <v>24276.350000000002</v>
      </c>
    </row>
    <row r="42" spans="2:11" ht="17" x14ac:dyDescent="0.25">
      <c r="B42" s="59">
        <v>10</v>
      </c>
      <c r="C42" s="60" t="s">
        <v>68</v>
      </c>
      <c r="D42" s="61" t="s">
        <v>63</v>
      </c>
      <c r="E42" s="68" t="s">
        <v>69</v>
      </c>
      <c r="F42" s="63">
        <v>4500</v>
      </c>
      <c r="G42" s="34" t="s">
        <v>70</v>
      </c>
      <c r="H42" s="35">
        <v>9</v>
      </c>
      <c r="I42" s="36">
        <f>500*8+475</f>
        <v>4475</v>
      </c>
      <c r="J42" s="64">
        <v>4.99</v>
      </c>
      <c r="K42" s="38">
        <f t="shared" si="1"/>
        <v>22330.25</v>
      </c>
    </row>
    <row r="43" spans="2:11" ht="17" x14ac:dyDescent="0.25">
      <c r="B43" s="59">
        <v>11</v>
      </c>
      <c r="C43" s="60" t="s">
        <v>71</v>
      </c>
      <c r="D43" s="61" t="s">
        <v>63</v>
      </c>
      <c r="E43" s="62" t="s">
        <v>72</v>
      </c>
      <c r="F43" s="63">
        <v>5000</v>
      </c>
      <c r="G43" s="34" t="s">
        <v>73</v>
      </c>
      <c r="H43" s="35">
        <v>10</v>
      </c>
      <c r="I43" s="36">
        <f>500*9+420</f>
        <v>4920</v>
      </c>
      <c r="J43" s="64">
        <v>4.99</v>
      </c>
      <c r="K43" s="38">
        <f t="shared" si="1"/>
        <v>24550.799999999999</v>
      </c>
    </row>
    <row r="44" spans="2:11" ht="17" x14ac:dyDescent="0.25">
      <c r="B44" s="59">
        <v>12</v>
      </c>
      <c r="C44" s="60" t="s">
        <v>74</v>
      </c>
      <c r="D44" s="61" t="s">
        <v>63</v>
      </c>
      <c r="E44" s="62" t="s">
        <v>75</v>
      </c>
      <c r="F44" s="63">
        <v>5000</v>
      </c>
      <c r="G44" s="34" t="s">
        <v>76</v>
      </c>
      <c r="H44" s="35">
        <v>10</v>
      </c>
      <c r="I44" s="36">
        <f>500*9+395</f>
        <v>4895</v>
      </c>
      <c r="J44" s="64">
        <v>4.99</v>
      </c>
      <c r="K44" s="38">
        <f t="shared" si="1"/>
        <v>24426.05</v>
      </c>
    </row>
    <row r="45" spans="2:11" ht="18" customHeight="1" x14ac:dyDescent="0.25">
      <c r="B45" s="59">
        <v>13</v>
      </c>
      <c r="C45" s="65" t="s">
        <v>77</v>
      </c>
      <c r="D45" s="61" t="s">
        <v>63</v>
      </c>
      <c r="E45" s="67" t="s">
        <v>78</v>
      </c>
      <c r="F45" s="63">
        <v>5000</v>
      </c>
      <c r="G45" s="34" t="s">
        <v>67</v>
      </c>
      <c r="H45" s="35">
        <v>10</v>
      </c>
      <c r="I45" s="36">
        <f>500*9+365</f>
        <v>4865</v>
      </c>
      <c r="J45" s="64">
        <v>4.99</v>
      </c>
      <c r="K45" s="38">
        <f t="shared" si="1"/>
        <v>24276.350000000002</v>
      </c>
    </row>
    <row r="46" spans="2:11" ht="18" customHeight="1" x14ac:dyDescent="0.25">
      <c r="B46" s="59">
        <v>14</v>
      </c>
      <c r="C46" s="65" t="s">
        <v>79</v>
      </c>
      <c r="D46" s="61" t="s">
        <v>63</v>
      </c>
      <c r="E46" s="67" t="s">
        <v>32</v>
      </c>
      <c r="F46" s="63">
        <v>5000</v>
      </c>
      <c r="G46" s="34" t="s">
        <v>80</v>
      </c>
      <c r="H46" s="35">
        <v>10</v>
      </c>
      <c r="I46" s="36">
        <f>500*9+360</f>
        <v>4860</v>
      </c>
      <c r="J46" s="64">
        <v>4.99</v>
      </c>
      <c r="K46" s="38">
        <f t="shared" si="1"/>
        <v>24251.4</v>
      </c>
    </row>
    <row r="47" spans="2:11" ht="17" x14ac:dyDescent="0.25">
      <c r="B47" s="59">
        <v>15</v>
      </c>
      <c r="C47" s="60" t="s">
        <v>81</v>
      </c>
      <c r="D47" s="61" t="s">
        <v>14</v>
      </c>
      <c r="E47" s="62" t="s">
        <v>40</v>
      </c>
      <c r="F47" s="63">
        <v>3200</v>
      </c>
      <c r="G47" s="34" t="s">
        <v>82</v>
      </c>
      <c r="H47" s="35">
        <v>8</v>
      </c>
      <c r="I47" s="36">
        <f>400*7+455</f>
        <v>3255</v>
      </c>
      <c r="J47" s="64">
        <v>4.9800000000000004</v>
      </c>
      <c r="K47" s="38">
        <f t="shared" si="1"/>
        <v>16209.900000000001</v>
      </c>
    </row>
    <row r="48" spans="2:11" ht="18" customHeight="1" x14ac:dyDescent="0.25">
      <c r="B48" s="59">
        <v>16</v>
      </c>
      <c r="C48" s="65" t="s">
        <v>83</v>
      </c>
      <c r="D48" s="61" t="s">
        <v>14</v>
      </c>
      <c r="E48" s="67" t="s">
        <v>84</v>
      </c>
      <c r="F48" s="63">
        <v>4000</v>
      </c>
      <c r="G48" s="34" t="s">
        <v>85</v>
      </c>
      <c r="H48" s="35">
        <v>10</v>
      </c>
      <c r="I48" s="36">
        <f>400*9+495</f>
        <v>4095</v>
      </c>
      <c r="J48" s="64">
        <v>4.9800000000000004</v>
      </c>
      <c r="K48" s="38">
        <f t="shared" si="1"/>
        <v>20393.100000000002</v>
      </c>
    </row>
    <row r="49" spans="2:11" ht="18" customHeight="1" x14ac:dyDescent="0.25">
      <c r="B49" s="59">
        <v>17</v>
      </c>
      <c r="C49" s="65" t="s">
        <v>86</v>
      </c>
      <c r="D49" s="61" t="s">
        <v>36</v>
      </c>
      <c r="E49" s="67" t="s">
        <v>87</v>
      </c>
      <c r="F49" s="63">
        <v>12000</v>
      </c>
      <c r="G49" s="34" t="s">
        <v>88</v>
      </c>
      <c r="H49" s="35">
        <v>24</v>
      </c>
      <c r="I49" s="36">
        <f>500*22+565+555</f>
        <v>12120</v>
      </c>
      <c r="J49" s="64">
        <v>4.7</v>
      </c>
      <c r="K49" s="38">
        <f t="shared" si="1"/>
        <v>56964</v>
      </c>
    </row>
    <row r="50" spans="2:11" ht="51" x14ac:dyDescent="0.25">
      <c r="B50" s="59">
        <v>18</v>
      </c>
      <c r="C50" s="60" t="s">
        <v>89</v>
      </c>
      <c r="D50" s="61" t="s">
        <v>36</v>
      </c>
      <c r="E50" s="62" t="s">
        <v>90</v>
      </c>
      <c r="F50" s="63">
        <v>30000</v>
      </c>
      <c r="G50" s="34" t="s">
        <v>91</v>
      </c>
      <c r="H50" s="35">
        <v>61</v>
      </c>
      <c r="I50" s="36">
        <f>500*55+540+360+610+460+390+585</f>
        <v>30445</v>
      </c>
      <c r="J50" s="64">
        <v>4.7</v>
      </c>
      <c r="K50" s="38">
        <f t="shared" si="1"/>
        <v>143091.5</v>
      </c>
    </row>
    <row r="51" spans="2:11" ht="34" x14ac:dyDescent="0.25">
      <c r="B51" s="59">
        <v>19</v>
      </c>
      <c r="C51" s="60" t="s">
        <v>92</v>
      </c>
      <c r="D51" s="61" t="s">
        <v>36</v>
      </c>
      <c r="E51" s="68" t="s">
        <v>93</v>
      </c>
      <c r="F51" s="63">
        <v>30000</v>
      </c>
      <c r="G51" s="34" t="s">
        <v>94</v>
      </c>
      <c r="H51" s="35">
        <v>60</v>
      </c>
      <c r="I51" s="36">
        <f>500*55+565+535+525+495+490</f>
        <v>30110</v>
      </c>
      <c r="J51" s="64">
        <v>4.7</v>
      </c>
      <c r="K51" s="38">
        <f t="shared" si="1"/>
        <v>141517</v>
      </c>
    </row>
    <row r="52" spans="2:11" ht="17" x14ac:dyDescent="0.25">
      <c r="B52" s="59">
        <v>20</v>
      </c>
      <c r="C52" s="60" t="s">
        <v>27</v>
      </c>
      <c r="D52" s="61" t="s">
        <v>28</v>
      </c>
      <c r="E52" s="62" t="s">
        <v>29</v>
      </c>
      <c r="F52" s="63">
        <v>3000</v>
      </c>
      <c r="G52" s="34" t="s">
        <v>95</v>
      </c>
      <c r="H52" s="35">
        <v>6</v>
      </c>
      <c r="I52" s="36">
        <f>500*5+325</f>
        <v>2825</v>
      </c>
      <c r="J52" s="64">
        <v>4.83</v>
      </c>
      <c r="K52" s="38">
        <f t="shared" si="1"/>
        <v>13644.75</v>
      </c>
    </row>
    <row r="53" spans="2:11" ht="17" x14ac:dyDescent="0.25">
      <c r="B53" s="59">
        <v>21</v>
      </c>
      <c r="C53" s="60" t="s">
        <v>31</v>
      </c>
      <c r="D53" s="61" t="s">
        <v>28</v>
      </c>
      <c r="E53" s="62" t="s">
        <v>32</v>
      </c>
      <c r="F53" s="63">
        <v>3000</v>
      </c>
      <c r="G53" s="34" t="s">
        <v>96</v>
      </c>
      <c r="H53" s="35">
        <v>6</v>
      </c>
      <c r="I53" s="36">
        <f>500*5+330</f>
        <v>2830</v>
      </c>
      <c r="J53" s="64">
        <v>4.83</v>
      </c>
      <c r="K53" s="38">
        <f t="shared" si="1"/>
        <v>13668.9</v>
      </c>
    </row>
    <row r="54" spans="2:11" ht="18" customHeight="1" x14ac:dyDescent="0.25">
      <c r="B54" s="59">
        <v>22</v>
      </c>
      <c r="C54" s="65" t="s">
        <v>33</v>
      </c>
      <c r="D54" s="61" t="s">
        <v>28</v>
      </c>
      <c r="E54" s="67" t="s">
        <v>34</v>
      </c>
      <c r="F54" s="63">
        <v>3000</v>
      </c>
      <c r="G54" s="34" t="s">
        <v>97</v>
      </c>
      <c r="H54" s="35">
        <v>6</v>
      </c>
      <c r="I54" s="36">
        <f>500*5+410</f>
        <v>2910</v>
      </c>
      <c r="J54" s="64">
        <v>4.83</v>
      </c>
      <c r="K54" s="38">
        <f t="shared" si="1"/>
        <v>14055.300000000001</v>
      </c>
    </row>
    <row r="55" spans="2:11" ht="18" customHeight="1" x14ac:dyDescent="0.25">
      <c r="B55" s="59">
        <v>23</v>
      </c>
      <c r="C55" s="65" t="s">
        <v>98</v>
      </c>
      <c r="D55" s="61" t="s">
        <v>36</v>
      </c>
      <c r="E55" s="67" t="s">
        <v>99</v>
      </c>
      <c r="F55" s="63">
        <v>6000</v>
      </c>
      <c r="G55" s="34" t="s">
        <v>100</v>
      </c>
      <c r="H55" s="35">
        <v>12</v>
      </c>
      <c r="I55" s="36">
        <f>500*11+545</f>
        <v>6045</v>
      </c>
      <c r="J55" s="64">
        <v>4.7</v>
      </c>
      <c r="K55" s="38">
        <f t="shared" si="1"/>
        <v>28411.5</v>
      </c>
    </row>
    <row r="56" spans="2:11" ht="17" x14ac:dyDescent="0.25">
      <c r="B56" s="59">
        <v>24</v>
      </c>
      <c r="C56" s="60" t="s">
        <v>101</v>
      </c>
      <c r="D56" s="61" t="s">
        <v>36</v>
      </c>
      <c r="E56" s="62" t="s">
        <v>15</v>
      </c>
      <c r="F56" s="63">
        <v>12000</v>
      </c>
      <c r="G56" s="34" t="s">
        <v>102</v>
      </c>
      <c r="H56" s="35">
        <v>24</v>
      </c>
      <c r="I56" s="36">
        <f>500*22+635+580</f>
        <v>12215</v>
      </c>
      <c r="J56" s="64">
        <v>4.7</v>
      </c>
      <c r="K56" s="38">
        <f t="shared" si="1"/>
        <v>57410.5</v>
      </c>
    </row>
    <row r="57" spans="2:11" ht="18" thickBot="1" x14ac:dyDescent="0.3">
      <c r="B57" s="59">
        <v>25</v>
      </c>
      <c r="C57" s="60" t="s">
        <v>103</v>
      </c>
      <c r="D57" s="61" t="s">
        <v>36</v>
      </c>
      <c r="E57" s="68" t="s">
        <v>104</v>
      </c>
      <c r="F57" s="63">
        <v>3000</v>
      </c>
      <c r="G57" s="34" t="s">
        <v>105</v>
      </c>
      <c r="H57" s="35">
        <v>6</v>
      </c>
      <c r="I57" s="36">
        <f>500*5+415</f>
        <v>2915</v>
      </c>
      <c r="J57" s="64">
        <v>4.9400000000000004</v>
      </c>
      <c r="K57" s="38">
        <f t="shared" si="1"/>
        <v>14400.1</v>
      </c>
    </row>
    <row r="58" spans="2:11" ht="17" thickBot="1" x14ac:dyDescent="0.3">
      <c r="B58" s="39"/>
      <c r="C58" s="40"/>
      <c r="D58" s="41"/>
      <c r="E58" s="42"/>
      <c r="F58" s="43">
        <f>SUM(F33:F57)</f>
        <v>171500</v>
      </c>
      <c r="G58" s="44"/>
      <c r="H58" s="43">
        <f>SUM(H33:H57)</f>
        <v>353</v>
      </c>
      <c r="I58" s="43">
        <f>SUM(I33:I57)</f>
        <v>171295</v>
      </c>
      <c r="J58" s="43"/>
      <c r="K58" s="45">
        <f>SUM(K33:K57)</f>
        <v>839383.25</v>
      </c>
    </row>
    <row r="59" spans="2:11" ht="17" thickBot="1" x14ac:dyDescent="0.3">
      <c r="B59" s="46"/>
      <c r="C59" s="47"/>
      <c r="D59" s="48"/>
      <c r="E59" s="47"/>
      <c r="F59" s="49"/>
      <c r="G59" s="50"/>
      <c r="H59" s="51"/>
      <c r="I59" s="50"/>
      <c r="J59" s="52">
        <v>0.18</v>
      </c>
      <c r="K59" s="53">
        <f>+K58*0.18</f>
        <v>151088.98499999999</v>
      </c>
    </row>
    <row r="60" spans="2:11" ht="17" thickBot="1" x14ac:dyDescent="0.3">
      <c r="J60" s="46"/>
      <c r="K60" s="58">
        <f>+K58+K59</f>
        <v>990472.23499999999</v>
      </c>
    </row>
    <row r="62" spans="2:11" x14ac:dyDescent="0.2">
      <c r="B62" s="1"/>
      <c r="C62" s="2" t="s">
        <v>0</v>
      </c>
      <c r="D62" s="3"/>
      <c r="E62" s="4" t="s">
        <v>1</v>
      </c>
      <c r="F62" s="3"/>
      <c r="G62" s="1"/>
      <c r="H62" s="5"/>
      <c r="I62" s="5"/>
      <c r="J62" s="4"/>
      <c r="K62" s="6"/>
    </row>
    <row r="63" spans="2:11" x14ac:dyDescent="0.2">
      <c r="B63" s="1"/>
      <c r="C63" s="7" t="s">
        <v>2</v>
      </c>
      <c r="D63" s="8"/>
      <c r="E63" s="9" t="s">
        <v>3</v>
      </c>
      <c r="F63" s="10"/>
      <c r="G63" s="5"/>
      <c r="H63" s="5"/>
      <c r="I63" s="5"/>
      <c r="J63" s="4"/>
      <c r="K63" s="1"/>
    </row>
    <row r="64" spans="2:11" ht="16" thickBot="1" x14ac:dyDescent="0.25">
      <c r="B64" s="1"/>
      <c r="C64" s="11" t="s">
        <v>106</v>
      </c>
      <c r="D64" s="3"/>
      <c r="E64" s="6"/>
      <c r="F64" s="3"/>
      <c r="G64" s="12"/>
      <c r="H64" s="4"/>
      <c r="I64" s="5"/>
      <c r="J64" s="5"/>
      <c r="K64" s="1"/>
    </row>
    <row r="65" spans="2:11" ht="22" thickBot="1" x14ac:dyDescent="0.35">
      <c r="B65" s="13"/>
      <c r="C65" s="14" t="s">
        <v>5</v>
      </c>
      <c r="D65" s="15" t="s">
        <v>107</v>
      </c>
      <c r="E65" s="16" t="s">
        <v>7</v>
      </c>
      <c r="F65" s="17"/>
      <c r="G65" s="18"/>
      <c r="H65" s="19"/>
      <c r="I65" s="20"/>
      <c r="J65" s="20"/>
      <c r="K65" s="21"/>
    </row>
    <row r="66" spans="2:11" ht="16" thickBot="1" x14ac:dyDescent="0.25">
      <c r="B66" s="22" t="s">
        <v>8</v>
      </c>
      <c r="C66" s="23" t="s">
        <v>9</v>
      </c>
      <c r="D66" s="24"/>
      <c r="E66" s="25" t="s">
        <v>10</v>
      </c>
      <c r="F66" s="22" t="s">
        <v>11</v>
      </c>
      <c r="G66" s="25"/>
      <c r="H66" s="22"/>
      <c r="I66" s="26"/>
      <c r="J66" s="27"/>
      <c r="K66" s="28" t="s">
        <v>12</v>
      </c>
    </row>
    <row r="67" spans="2:11" ht="18" thickBot="1" x14ac:dyDescent="0.3">
      <c r="B67" s="59">
        <v>1</v>
      </c>
      <c r="C67" s="65" t="s">
        <v>108</v>
      </c>
      <c r="D67" s="61" t="s">
        <v>36</v>
      </c>
      <c r="E67" s="67" t="s">
        <v>109</v>
      </c>
      <c r="F67" s="63">
        <v>3000</v>
      </c>
      <c r="G67" s="34" t="s">
        <v>110</v>
      </c>
      <c r="H67" s="35">
        <v>6</v>
      </c>
      <c r="I67" s="36">
        <f>500*5+360</f>
        <v>2860</v>
      </c>
      <c r="J67" s="64">
        <v>4.9400000000000004</v>
      </c>
      <c r="K67" s="38">
        <f>I67*J67</f>
        <v>14128.400000000001</v>
      </c>
    </row>
    <row r="68" spans="2:11" ht="17" thickBot="1" x14ac:dyDescent="0.3">
      <c r="B68" s="39"/>
      <c r="C68" s="40"/>
      <c r="D68" s="41"/>
      <c r="E68" s="42"/>
      <c r="F68" s="43">
        <f>SUM(F67:F67)</f>
        <v>3000</v>
      </c>
      <c r="G68" s="44"/>
      <c r="H68" s="43">
        <f>SUM(H67:H67)</f>
        <v>6</v>
      </c>
      <c r="I68" s="43">
        <f>SUM(I67:I67)</f>
        <v>2860</v>
      </c>
      <c r="J68" s="43"/>
      <c r="K68" s="45">
        <f>SUM(K67:K67)</f>
        <v>14128.400000000001</v>
      </c>
    </row>
    <row r="69" spans="2:11" ht="17" thickBot="1" x14ac:dyDescent="0.3">
      <c r="B69" s="46"/>
      <c r="C69" s="47"/>
      <c r="D69" s="48"/>
      <c r="E69" s="47"/>
      <c r="F69" s="49"/>
      <c r="G69" s="50"/>
      <c r="H69" s="51"/>
      <c r="I69" s="50"/>
      <c r="J69" s="52">
        <v>0.18</v>
      </c>
      <c r="K69" s="53">
        <f>+K68*0.18</f>
        <v>2543.1120000000001</v>
      </c>
    </row>
    <row r="70" spans="2:11" ht="17" thickBot="1" x14ac:dyDescent="0.3">
      <c r="J70" s="46"/>
      <c r="K70" s="58">
        <f>+K68+K69</f>
        <v>16671.512000000002</v>
      </c>
    </row>
    <row r="73" spans="2:11" x14ac:dyDescent="0.2">
      <c r="F73" s="69">
        <f>F24+F58+F68+F8</f>
        <v>198700</v>
      </c>
      <c r="H73" s="69">
        <f>H24+H58+H68+H8</f>
        <v>409</v>
      </c>
      <c r="I73" s="69">
        <f>I24+I58+I68+I8</f>
        <v>198100</v>
      </c>
    </row>
  </sheetData>
  <conditionalFormatting sqref="C8:C9">
    <cfRule type="duplicateValues" dxfId="3" priority="1"/>
  </conditionalFormatting>
  <conditionalFormatting sqref="C24:C25">
    <cfRule type="duplicateValues" dxfId="2" priority="4"/>
  </conditionalFormatting>
  <conditionalFormatting sqref="C58:C59">
    <cfRule type="duplicateValues" dxfId="1" priority="3"/>
  </conditionalFormatting>
  <conditionalFormatting sqref="C68:C69">
    <cfRule type="duplicateValues" dxfId="0" priority="2"/>
  </conditionalFormatting>
  <pageMargins left="0.7" right="0.7" top="0.75" bottom="0.75" header="0.3" footer="0.3"/>
  <pageSetup paperSize="9" scale="3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3A17-A931-394E-A8D5-F989718945E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28 Apr 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2026-07-09T08:46:25Z</dcterms:created>
  <dcterms:modified xsi:type="dcterms:W3CDTF">2026-07-09T08:46:54Z</dcterms:modified>
</cp:coreProperties>
</file>