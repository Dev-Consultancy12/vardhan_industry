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506B6590-B61D-C14D-829E-8B400CDCDD79}" xr6:coauthVersionLast="47" xr6:coauthVersionMax="47" xr10:uidLastSave="{00000000-0000-0000-0000-000000000000}"/>
  <bookViews>
    <workbookView xWindow="9820" yWindow="1340" windowWidth="27240" windowHeight="15260" xr2:uid="{D5A2A687-26CF-E44B-8DDE-17DEA5AB77ED}"/>
  </bookViews>
  <sheets>
    <sheet name="04 Apr 25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2" l="1"/>
  <c r="F56" i="2"/>
  <c r="I55" i="2"/>
  <c r="I54" i="2"/>
  <c r="K54" i="2" s="1"/>
  <c r="I53" i="2"/>
  <c r="K53" i="2" s="1"/>
  <c r="I52" i="2"/>
  <c r="K52" i="2" s="1"/>
  <c r="I51" i="2"/>
  <c r="K51" i="2" s="1"/>
  <c r="K50" i="2"/>
  <c r="I50" i="2"/>
  <c r="I49" i="2"/>
  <c r="K49" i="2" s="1"/>
  <c r="I48" i="2"/>
  <c r="K48" i="2" s="1"/>
  <c r="I47" i="2"/>
  <c r="K47" i="2" s="1"/>
  <c r="I46" i="2"/>
  <c r="K46" i="2" s="1"/>
  <c r="I45" i="2"/>
  <c r="K45" i="2" s="1"/>
  <c r="I44" i="2"/>
  <c r="K44" i="2" s="1"/>
  <c r="I43" i="2"/>
  <c r="K43" i="2" s="1"/>
  <c r="I42" i="2"/>
  <c r="K42" i="2" s="1"/>
  <c r="I41" i="2"/>
  <c r="K41" i="2" s="1"/>
  <c r="I40" i="2"/>
  <c r="K40" i="2" s="1"/>
  <c r="I39" i="2"/>
  <c r="K39" i="2" s="1"/>
  <c r="K38" i="2"/>
  <c r="I38" i="2"/>
  <c r="I37" i="2"/>
  <c r="K37" i="2" s="1"/>
  <c r="I36" i="2"/>
  <c r="K36" i="2" s="1"/>
  <c r="I35" i="2"/>
  <c r="K35" i="2" s="1"/>
  <c r="I34" i="2"/>
  <c r="K34" i="2" s="1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K20" i="2" s="1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I11" i="2"/>
  <c r="K11" i="2" s="1"/>
  <c r="I10" i="2"/>
  <c r="K10" i="2" s="1"/>
  <c r="I9" i="2"/>
  <c r="K9" i="2" s="1"/>
  <c r="I8" i="2"/>
  <c r="K8" i="2" s="1"/>
  <c r="I7" i="2"/>
  <c r="K7" i="2" s="1"/>
  <c r="I56" i="2" l="1"/>
  <c r="K55" i="2"/>
  <c r="K56" i="2" s="1"/>
  <c r="K57" i="2" l="1"/>
  <c r="K58" i="2" s="1"/>
</calcChain>
</file>

<file path=xl/sharedStrings.xml><?xml version="1.0" encoding="utf-8"?>
<sst xmlns="http://schemas.openxmlformats.org/spreadsheetml/2006/main" count="209" uniqueCount="145">
  <si>
    <t>`</t>
  </si>
  <si>
    <t>VARDHAN CABLE INDUSTRIES</t>
  </si>
  <si>
    <t>PACKING DETAILS</t>
  </si>
  <si>
    <t>VENDOR CODE-20300788</t>
  </si>
  <si>
    <t>PO No: POP2202503060007   Dt: 06-03-2025</t>
  </si>
  <si>
    <t>INVOICE NO------</t>
  </si>
  <si>
    <t>2</t>
  </si>
  <si>
    <t>Dt: 04-04-2025</t>
  </si>
  <si>
    <t>SN</t>
  </si>
  <si>
    <t>ITEM CODE</t>
  </si>
  <si>
    <t>COLOUR</t>
  </si>
  <si>
    <t>ORDER</t>
  </si>
  <si>
    <t>AMOUNT</t>
  </si>
  <si>
    <t>3220-00080-00</t>
  </si>
  <si>
    <t>AVSSX 0.5F</t>
  </si>
  <si>
    <t>BLACK/BLUE</t>
  </si>
  <si>
    <t>5*500, 1*320</t>
  </si>
  <si>
    <t>3220-00080-01</t>
  </si>
  <si>
    <t>YELLOW/RED</t>
  </si>
  <si>
    <t>5*500, 1*380</t>
  </si>
  <si>
    <t>3220-00080-06</t>
  </si>
  <si>
    <t>YELLOW</t>
  </si>
  <si>
    <t>4*500, 1*490, 1*390</t>
  </si>
  <si>
    <t>3220-00034-02</t>
  </si>
  <si>
    <t>FLRY-B 1.5MM</t>
  </si>
  <si>
    <t>BLACK/RED</t>
  </si>
  <si>
    <t>6*400, 1*500</t>
  </si>
  <si>
    <t>3220-00020-37</t>
  </si>
  <si>
    <t>AVSS 0.5F</t>
  </si>
  <si>
    <t>BROWN</t>
  </si>
  <si>
    <t>6*500</t>
  </si>
  <si>
    <t>3220-00020-38</t>
  </si>
  <si>
    <t>YELLOW/GREEN</t>
  </si>
  <si>
    <t>5*500, 1*540</t>
  </si>
  <si>
    <t>3220-00046-00</t>
  </si>
  <si>
    <t>AV 0.75F</t>
  </si>
  <si>
    <t>GREEN</t>
  </si>
  <si>
    <t>9*400, 1*250</t>
  </si>
  <si>
    <t>3220-00046-01</t>
  </si>
  <si>
    <t>BLACK/WHITE</t>
  </si>
  <si>
    <t>6*400, 1*475</t>
  </si>
  <si>
    <t>3220-00017-09</t>
  </si>
  <si>
    <t>AVS 0.5F</t>
  </si>
  <si>
    <t>5*500, 1*490</t>
  </si>
  <si>
    <t>3220-00032-46</t>
  </si>
  <si>
    <t>8*500, 1*295</t>
  </si>
  <si>
    <t>3220-00041-00</t>
  </si>
  <si>
    <t>AVSSH 0.5F</t>
  </si>
  <si>
    <t>WHITE/YELLOW</t>
  </si>
  <si>
    <t>5*500, 1*360</t>
  </si>
  <si>
    <t>3220-00041-01</t>
  </si>
  <si>
    <t>BLUE/BLACK</t>
  </si>
  <si>
    <t>5*500, 1*355</t>
  </si>
  <si>
    <t>3220-00041-02</t>
  </si>
  <si>
    <t>BROWN/GREEN</t>
  </si>
  <si>
    <t>3220-00041-03</t>
  </si>
  <si>
    <t>DARK-GREEN/BLUE</t>
  </si>
  <si>
    <t>5*500, 1*375</t>
  </si>
  <si>
    <t>3220-00041-04</t>
  </si>
  <si>
    <t>GRAY/BLUE</t>
  </si>
  <si>
    <t>5*500, 1*385</t>
  </si>
  <si>
    <t>3220-00041-06</t>
  </si>
  <si>
    <t>VIOLET/RED</t>
  </si>
  <si>
    <t>5*500, 1*365</t>
  </si>
  <si>
    <t>3220-00041-07</t>
  </si>
  <si>
    <t>3220-00032-42</t>
  </si>
  <si>
    <t>3220-00019-16</t>
  </si>
  <si>
    <t>AV 0.5F</t>
  </si>
  <si>
    <t>9*400, 1*195</t>
  </si>
  <si>
    <t>3220-00019-17</t>
  </si>
  <si>
    <t>WHITE/RED</t>
  </si>
  <si>
    <t>9*400, 1*275</t>
  </si>
  <si>
    <t>3220-00017-10</t>
  </si>
  <si>
    <t>5*500, 1*330</t>
  </si>
  <si>
    <t>3220-00019-04</t>
  </si>
  <si>
    <t>DARK-GREEN</t>
  </si>
  <si>
    <t>7*400, 1*200</t>
  </si>
  <si>
    <t>3220-00057-00</t>
  </si>
  <si>
    <t>6*500, 2*530</t>
  </si>
  <si>
    <t>3220-00057-01</t>
  </si>
  <si>
    <t>GREEN/WHITE</t>
  </si>
  <si>
    <t>7*500, 1*615</t>
  </si>
  <si>
    <t>3220-00020-30</t>
  </si>
  <si>
    <t>17*500, 1*615, 1*555, 1*385</t>
  </si>
  <si>
    <t>3220-00020-34</t>
  </si>
  <si>
    <t>BLACK</t>
  </si>
  <si>
    <t>71*500, 1*655, 1*565, 1*560, 1*540, 1*530, 1*515, 1*505, 1*490, 1*420</t>
  </si>
  <si>
    <t>3220-00020-32</t>
  </si>
  <si>
    <t>GREEN/YELLOW</t>
  </si>
  <si>
    <t>21*500, 2*510, 1*535</t>
  </si>
  <si>
    <t>3220-00020-36</t>
  </si>
  <si>
    <t>10*500, 1*475, 1*370</t>
  </si>
  <si>
    <t>3207-01330-11</t>
  </si>
  <si>
    <t>AVX 0.5F</t>
  </si>
  <si>
    <t>LIGHT-GREEN/RED</t>
  </si>
  <si>
    <t>22*400, 2*420, 1*260</t>
  </si>
  <si>
    <t>3207-01330-12</t>
  </si>
  <si>
    <t>BLUE/RED</t>
  </si>
  <si>
    <t>23*400, 1*435, 1*450</t>
  </si>
  <si>
    <t>3207-01330-06</t>
  </si>
  <si>
    <t>BLUE</t>
  </si>
  <si>
    <t>9*400, 1*190</t>
  </si>
  <si>
    <t>3207-01505-00</t>
  </si>
  <si>
    <t>3207-01505-01</t>
  </si>
  <si>
    <t>WHITE</t>
  </si>
  <si>
    <t>7*400, 1*220</t>
  </si>
  <si>
    <t>3207-01505-02</t>
  </si>
  <si>
    <t>8*400, 1*300</t>
  </si>
  <si>
    <t>3207-01505-03</t>
  </si>
  <si>
    <t>ORANGE</t>
  </si>
  <si>
    <t>9*400, 1*225</t>
  </si>
  <si>
    <t>3207-01505-04</t>
  </si>
  <si>
    <t>RED</t>
  </si>
  <si>
    <t>8*400, 1*335</t>
  </si>
  <si>
    <t>3207-01505-05</t>
  </si>
  <si>
    <t>10*400, 1*230</t>
  </si>
  <si>
    <t>3207-01330-14</t>
  </si>
  <si>
    <t>14*400, 1*415</t>
  </si>
  <si>
    <t>3207-01330-15</t>
  </si>
  <si>
    <t>GRAY/BLACK</t>
  </si>
  <si>
    <t>14*400, 1*285</t>
  </si>
  <si>
    <t>3220-00054-03</t>
  </si>
  <si>
    <t>9*500, 1*470</t>
  </si>
  <si>
    <t>3220-00020-45</t>
  </si>
  <si>
    <t>11*500, 1*505</t>
  </si>
  <si>
    <t>3220-00020-23</t>
  </si>
  <si>
    <t>5*500, 1*495</t>
  </si>
  <si>
    <t>3220-00020-39</t>
  </si>
  <si>
    <t>7*500</t>
  </si>
  <si>
    <t>3207-01206-10</t>
  </si>
  <si>
    <t>AVSS 0.75F</t>
  </si>
  <si>
    <t>PINK</t>
  </si>
  <si>
    <t>6*400, 1*455</t>
  </si>
  <si>
    <t>3220-00032-55</t>
  </si>
  <si>
    <t>7*500, 1*530</t>
  </si>
  <si>
    <t>3220-00032-45</t>
  </si>
  <si>
    <t>3220-00069-02</t>
  </si>
  <si>
    <t>BROWN/BLUE</t>
  </si>
  <si>
    <t>3220-00054-09</t>
  </si>
  <si>
    <t>YELLOW/WHITE</t>
  </si>
  <si>
    <t>5*500, 1*475</t>
  </si>
  <si>
    <t>3220-00018-03</t>
  </si>
  <si>
    <t>AVS 1.25F</t>
  </si>
  <si>
    <t>RED/WHITE</t>
  </si>
  <si>
    <t>7*400, 1*115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</si>
</sst>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###,###,###,###,##0"/>
    <numFmt numFmtId="166" formatCode="###,###,###,###,##0.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1"/>
      <name val="Segoe UI"/>
      <family val="2"/>
    </font>
    <font>
      <b/>
      <sz val="9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2" fillId="0" borderId="1" xfId="1" applyFont="1" applyBorder="1" applyAlignment="1">
      <alignment horizontal="center"/>
    </xf>
    <xf numFmtId="0" fontId="4" fillId="0" borderId="0" xfId="1" applyFont="1" applyAlignment="1">
      <alignment horizontal="left"/>
    </xf>
    <xf numFmtId="0" fontId="5" fillId="0" borderId="0" xfId="1" applyFont="1"/>
    <xf numFmtId="0" fontId="2" fillId="0" borderId="2" xfId="1" applyFont="1" applyBorder="1"/>
    <xf numFmtId="0" fontId="6" fillId="0" borderId="2" xfId="1" applyFont="1" applyBorder="1" applyAlignment="1">
      <alignment horizontal="left"/>
    </xf>
    <xf numFmtId="49" fontId="7" fillId="0" borderId="3" xfId="1" applyNumberFormat="1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6" fontId="2" fillId="0" borderId="5" xfId="1" applyNumberFormat="1" applyFont="1" applyBorder="1" applyAlignment="1">
      <alignment horizontal="center"/>
    </xf>
    <xf numFmtId="0" fontId="4" fillId="0" borderId="5" xfId="1" applyFont="1" applyBorder="1"/>
    <xf numFmtId="0" fontId="2" fillId="0" borderId="5" xfId="1" applyFont="1" applyBorder="1"/>
    <xf numFmtId="0" fontId="3" fillId="0" borderId="5" xfId="1" applyFont="1" applyBorder="1" applyAlignment="1">
      <alignment horizontal="center"/>
    </xf>
    <xf numFmtId="0" fontId="2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4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165" fontId="9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165" fontId="9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10" fillId="0" borderId="12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left" vertical="center"/>
    </xf>
    <xf numFmtId="0" fontId="11" fillId="0" borderId="16" xfId="1" applyFont="1" applyBorder="1"/>
    <xf numFmtId="0" fontId="9" fillId="0" borderId="17" xfId="1" applyFont="1" applyBorder="1" applyAlignment="1">
      <alignment horizontal="left"/>
    </xf>
    <xf numFmtId="0" fontId="9" fillId="0" borderId="17" xfId="1" applyFont="1" applyBorder="1" applyAlignment="1">
      <alignment horizontal="center"/>
    </xf>
    <xf numFmtId="0" fontId="9" fillId="0" borderId="18" xfId="1" applyFont="1" applyBorder="1"/>
    <xf numFmtId="165" fontId="8" fillId="0" borderId="10" xfId="1" applyNumberFormat="1" applyFont="1" applyBorder="1" applyAlignment="1">
      <alignment horizontal="center"/>
    </xf>
    <xf numFmtId="0" fontId="11" fillId="0" borderId="10" xfId="1" applyFont="1" applyBorder="1"/>
    <xf numFmtId="166" fontId="8" fillId="0" borderId="10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11" fillId="0" borderId="0" xfId="1" applyFont="1"/>
    <xf numFmtId="165" fontId="8" fillId="0" borderId="0" xfId="1" applyNumberFormat="1" applyFont="1" applyAlignment="1">
      <alignment horizontal="center"/>
    </xf>
    <xf numFmtId="9" fontId="8" fillId="0" borderId="0" xfId="1" applyNumberFormat="1" applyFont="1" applyAlignment="1">
      <alignment horizontal="center"/>
    </xf>
    <xf numFmtId="2" fontId="11" fillId="0" borderId="19" xfId="1" applyNumberFormat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  <xf numFmtId="165" fontId="1" fillId="0" borderId="0" xfId="1" applyNumberFormat="1"/>
  </cellXfs>
  <cellStyles count="2">
    <cellStyle name="Normal" xfId="0" builtinId="0"/>
    <cellStyle name="Normal 2 3" xfId="1" xr:uid="{F714524C-F0E1-E94A-B2CE-FF7863773B4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655F-0085-924B-9AA5-6C6D18A91498}">
  <dimension ref="B2:K62"/>
  <sheetViews>
    <sheetView tabSelected="1" zoomScale="168" workbookViewId="0">
      <selection activeCell="D14" sqref="D14"/>
    </sheetView>
  </sheetViews>
  <sheetFormatPr baseColWidth="10" defaultColWidth="8.83203125" defaultRowHeight="15" x14ac:dyDescent="0.2"/>
  <cols>
    <col min="1" max="1" width="8.83203125" style="7"/>
    <col min="2" max="2" width="3.33203125" style="7" bestFit="1" customWidth="1"/>
    <col min="3" max="3" width="19.1640625" style="7" customWidth="1"/>
    <col min="4" max="4" width="11.5" style="7" bestFit="1" customWidth="1"/>
    <col min="5" max="5" width="20.5" style="7" customWidth="1"/>
    <col min="6" max="6" width="10.6640625" style="7" bestFit="1" customWidth="1"/>
    <col min="7" max="7" width="23.1640625" style="7" customWidth="1"/>
    <col min="8" max="8" width="7.1640625" style="7" bestFit="1" customWidth="1"/>
    <col min="9" max="9" width="8.6640625" style="7" bestFit="1" customWidth="1"/>
    <col min="10" max="10" width="6.1640625" style="7" bestFit="1" customWidth="1"/>
    <col min="11" max="11" width="12.33203125" style="7" bestFit="1" customWidth="1"/>
    <col min="12" max="16384" width="8.83203125" style="7"/>
  </cols>
  <sheetData>
    <row r="2" spans="2:11" ht="18" customHeight="1" x14ac:dyDescent="0.2">
      <c r="B2" s="1"/>
      <c r="C2" s="2" t="s">
        <v>0</v>
      </c>
      <c r="D2" s="3"/>
      <c r="E2" s="4" t="s">
        <v>1</v>
      </c>
      <c r="F2" s="3"/>
      <c r="G2" s="1"/>
      <c r="H2" s="5"/>
      <c r="I2" s="5"/>
      <c r="J2" s="4"/>
      <c r="K2" s="6"/>
    </row>
    <row r="3" spans="2:11" ht="18" customHeight="1" x14ac:dyDescent="0.2">
      <c r="B3" s="1"/>
      <c r="C3" s="8" t="s">
        <v>2</v>
      </c>
      <c r="D3" s="9"/>
      <c r="E3" s="10" t="s">
        <v>3</v>
      </c>
      <c r="F3" s="11"/>
      <c r="G3" s="5"/>
      <c r="H3" s="5"/>
      <c r="I3" s="5"/>
      <c r="J3" s="4"/>
      <c r="K3" s="1"/>
    </row>
    <row r="4" spans="2:11" ht="18" customHeight="1" thickBot="1" x14ac:dyDescent="0.25">
      <c r="B4" s="1"/>
      <c r="C4" s="12" t="s">
        <v>4</v>
      </c>
      <c r="D4" s="3"/>
      <c r="E4" s="6"/>
      <c r="F4" s="3"/>
      <c r="G4" s="13"/>
      <c r="H4" s="4"/>
      <c r="I4" s="5"/>
      <c r="J4" s="5"/>
      <c r="K4" s="1"/>
    </row>
    <row r="5" spans="2:11" ht="18" customHeight="1" thickBot="1" x14ac:dyDescent="0.35">
      <c r="B5" s="14"/>
      <c r="C5" s="15" t="s">
        <v>5</v>
      </c>
      <c r="D5" s="16" t="s">
        <v>6</v>
      </c>
      <c r="E5" s="17" t="s">
        <v>7</v>
      </c>
      <c r="F5" s="18"/>
      <c r="G5" s="19"/>
      <c r="H5" s="20"/>
      <c r="I5" s="21"/>
      <c r="J5" s="21"/>
      <c r="K5" s="22"/>
    </row>
    <row r="6" spans="2:11" ht="18" customHeight="1" thickBot="1" x14ac:dyDescent="0.25">
      <c r="B6" s="23" t="s">
        <v>8</v>
      </c>
      <c r="C6" s="24" t="s">
        <v>9</v>
      </c>
      <c r="D6" s="25"/>
      <c r="E6" s="26" t="s">
        <v>10</v>
      </c>
      <c r="F6" s="23" t="s">
        <v>11</v>
      </c>
      <c r="G6" s="26"/>
      <c r="H6" s="23"/>
      <c r="I6" s="27"/>
      <c r="J6" s="28"/>
      <c r="K6" s="29" t="s">
        <v>12</v>
      </c>
    </row>
    <row r="7" spans="2:11" ht="18" customHeight="1" x14ac:dyDescent="0.25">
      <c r="B7" s="30">
        <v>1</v>
      </c>
      <c r="C7" s="31" t="s">
        <v>13</v>
      </c>
      <c r="D7" s="32" t="s">
        <v>14</v>
      </c>
      <c r="E7" s="33" t="s">
        <v>15</v>
      </c>
      <c r="F7" s="34">
        <v>3000</v>
      </c>
      <c r="G7" s="35" t="s">
        <v>16</v>
      </c>
      <c r="H7" s="36">
        <v>6</v>
      </c>
      <c r="I7" s="37">
        <f>500*5+320</f>
        <v>2820</v>
      </c>
      <c r="J7" s="38">
        <v>4.7</v>
      </c>
      <c r="K7" s="39">
        <f t="shared" ref="K7:K55" si="0">I7*J7</f>
        <v>13254</v>
      </c>
    </row>
    <row r="8" spans="2:11" ht="18" customHeight="1" x14ac:dyDescent="0.25">
      <c r="B8" s="30">
        <v>2</v>
      </c>
      <c r="C8" s="31" t="s">
        <v>17</v>
      </c>
      <c r="D8" s="32" t="s">
        <v>14</v>
      </c>
      <c r="E8" s="33" t="s">
        <v>18</v>
      </c>
      <c r="F8" s="34">
        <v>3000</v>
      </c>
      <c r="G8" s="35" t="s">
        <v>19</v>
      </c>
      <c r="H8" s="36">
        <v>6</v>
      </c>
      <c r="I8" s="37">
        <f>500*5+380</f>
        <v>2880</v>
      </c>
      <c r="J8" s="38">
        <v>4.7</v>
      </c>
      <c r="K8" s="39">
        <f t="shared" si="0"/>
        <v>13536</v>
      </c>
    </row>
    <row r="9" spans="2:11" ht="18" customHeight="1" x14ac:dyDescent="0.25">
      <c r="B9" s="30">
        <v>3</v>
      </c>
      <c r="C9" s="31" t="s">
        <v>20</v>
      </c>
      <c r="D9" s="32" t="s">
        <v>14</v>
      </c>
      <c r="E9" s="40" t="s">
        <v>21</v>
      </c>
      <c r="F9" s="34">
        <v>3000</v>
      </c>
      <c r="G9" s="35" t="s">
        <v>22</v>
      </c>
      <c r="H9" s="36">
        <v>6</v>
      </c>
      <c r="I9" s="37">
        <f>500*4+490+390</f>
        <v>2880</v>
      </c>
      <c r="J9" s="38">
        <v>4.7</v>
      </c>
      <c r="K9" s="39">
        <f t="shared" si="0"/>
        <v>13536</v>
      </c>
    </row>
    <row r="10" spans="2:11" ht="18" customHeight="1" x14ac:dyDescent="0.25">
      <c r="B10" s="30">
        <v>4</v>
      </c>
      <c r="C10" s="31" t="s">
        <v>23</v>
      </c>
      <c r="D10" s="41" t="s">
        <v>24</v>
      </c>
      <c r="E10" s="33" t="s">
        <v>25</v>
      </c>
      <c r="F10" s="34">
        <v>3000</v>
      </c>
      <c r="G10" s="35" t="s">
        <v>26</v>
      </c>
      <c r="H10" s="36">
        <v>7</v>
      </c>
      <c r="I10" s="37">
        <f>400*6+500</f>
        <v>2900</v>
      </c>
      <c r="J10" s="38">
        <v>12.8</v>
      </c>
      <c r="K10" s="39">
        <f t="shared" si="0"/>
        <v>37120</v>
      </c>
    </row>
    <row r="11" spans="2:11" ht="18" customHeight="1" x14ac:dyDescent="0.25">
      <c r="B11" s="30">
        <v>5</v>
      </c>
      <c r="C11" s="31" t="s">
        <v>27</v>
      </c>
      <c r="D11" s="41" t="s">
        <v>28</v>
      </c>
      <c r="E11" s="40" t="s">
        <v>29</v>
      </c>
      <c r="F11" s="34">
        <v>3000</v>
      </c>
      <c r="G11" s="35" t="s">
        <v>30</v>
      </c>
      <c r="H11" s="36">
        <v>6</v>
      </c>
      <c r="I11" s="37">
        <f>500*6</f>
        <v>3000</v>
      </c>
      <c r="J11" s="38">
        <v>4.51</v>
      </c>
      <c r="K11" s="39">
        <f t="shared" si="0"/>
        <v>13530</v>
      </c>
    </row>
    <row r="12" spans="2:11" ht="18" customHeight="1" x14ac:dyDescent="0.25">
      <c r="B12" s="30">
        <v>6</v>
      </c>
      <c r="C12" s="31" t="s">
        <v>31</v>
      </c>
      <c r="D12" s="41" t="s">
        <v>28</v>
      </c>
      <c r="E12" s="33" t="s">
        <v>32</v>
      </c>
      <c r="F12" s="34">
        <v>3000</v>
      </c>
      <c r="G12" s="35" t="s">
        <v>33</v>
      </c>
      <c r="H12" s="36">
        <v>6</v>
      </c>
      <c r="I12" s="37">
        <f>500*5+540</f>
        <v>3040</v>
      </c>
      <c r="J12" s="38">
        <v>4.51</v>
      </c>
      <c r="K12" s="39">
        <f t="shared" si="0"/>
        <v>13710.4</v>
      </c>
    </row>
    <row r="13" spans="2:11" ht="18" customHeight="1" x14ac:dyDescent="0.25">
      <c r="B13" s="30">
        <v>7</v>
      </c>
      <c r="C13" s="31" t="s">
        <v>34</v>
      </c>
      <c r="D13" s="41" t="s">
        <v>35</v>
      </c>
      <c r="E13" s="33" t="s">
        <v>36</v>
      </c>
      <c r="F13" s="34">
        <v>3900</v>
      </c>
      <c r="G13" s="35" t="s">
        <v>37</v>
      </c>
      <c r="H13" s="36">
        <v>10</v>
      </c>
      <c r="I13" s="37">
        <f>400*9+250</f>
        <v>3850</v>
      </c>
      <c r="J13" s="38">
        <v>6.95</v>
      </c>
      <c r="K13" s="39">
        <f t="shared" si="0"/>
        <v>26757.5</v>
      </c>
    </row>
    <row r="14" spans="2:11" ht="18" customHeight="1" x14ac:dyDescent="0.25">
      <c r="B14" s="30">
        <v>8</v>
      </c>
      <c r="C14" s="42" t="s">
        <v>38</v>
      </c>
      <c r="D14" s="41" t="s">
        <v>35</v>
      </c>
      <c r="E14" s="43" t="s">
        <v>39</v>
      </c>
      <c r="F14" s="34">
        <v>2800</v>
      </c>
      <c r="G14" s="35" t="s">
        <v>40</v>
      </c>
      <c r="H14" s="36">
        <v>7</v>
      </c>
      <c r="I14" s="37">
        <f>400*6+475</f>
        <v>2875</v>
      </c>
      <c r="J14" s="38">
        <v>6.95</v>
      </c>
      <c r="K14" s="39">
        <f t="shared" si="0"/>
        <v>19981.25</v>
      </c>
    </row>
    <row r="15" spans="2:11" ht="18" customHeight="1" x14ac:dyDescent="0.25">
      <c r="B15" s="30">
        <v>9</v>
      </c>
      <c r="C15" s="31" t="s">
        <v>41</v>
      </c>
      <c r="D15" s="41" t="s">
        <v>42</v>
      </c>
      <c r="E15" s="33" t="s">
        <v>21</v>
      </c>
      <c r="F15" s="34">
        <v>3000</v>
      </c>
      <c r="G15" s="35" t="s">
        <v>43</v>
      </c>
      <c r="H15" s="36">
        <v>6</v>
      </c>
      <c r="I15" s="37">
        <f>500*5+490</f>
        <v>2990</v>
      </c>
      <c r="J15" s="38">
        <v>4.6500000000000004</v>
      </c>
      <c r="K15" s="39">
        <f t="shared" si="0"/>
        <v>13903.500000000002</v>
      </c>
    </row>
    <row r="16" spans="2:11" ht="18" customHeight="1" x14ac:dyDescent="0.25">
      <c r="B16" s="30">
        <v>10</v>
      </c>
      <c r="C16" s="31" t="s">
        <v>44</v>
      </c>
      <c r="D16" s="41" t="s">
        <v>28</v>
      </c>
      <c r="E16" s="40" t="s">
        <v>39</v>
      </c>
      <c r="F16" s="34">
        <v>4000</v>
      </c>
      <c r="G16" s="35" t="s">
        <v>45</v>
      </c>
      <c r="H16" s="36">
        <v>9</v>
      </c>
      <c r="I16" s="37">
        <f>500*8+295</f>
        <v>4295</v>
      </c>
      <c r="J16" s="38">
        <v>4.7300000000000004</v>
      </c>
      <c r="K16" s="39">
        <f t="shared" si="0"/>
        <v>20315.350000000002</v>
      </c>
    </row>
    <row r="17" spans="2:11" ht="18" customHeight="1" x14ac:dyDescent="0.25">
      <c r="B17" s="30">
        <v>11</v>
      </c>
      <c r="C17" s="31" t="s">
        <v>46</v>
      </c>
      <c r="D17" s="32" t="s">
        <v>47</v>
      </c>
      <c r="E17" s="33" t="s">
        <v>48</v>
      </c>
      <c r="F17" s="34">
        <v>3000</v>
      </c>
      <c r="G17" s="35" t="s">
        <v>49</v>
      </c>
      <c r="H17" s="36">
        <v>6</v>
      </c>
      <c r="I17" s="37">
        <f>500*5+360</f>
        <v>2860</v>
      </c>
      <c r="J17" s="38">
        <v>4.78</v>
      </c>
      <c r="K17" s="39">
        <f t="shared" si="0"/>
        <v>13670.800000000001</v>
      </c>
    </row>
    <row r="18" spans="2:11" ht="18" customHeight="1" x14ac:dyDescent="0.25">
      <c r="B18" s="30">
        <v>12</v>
      </c>
      <c r="C18" s="31" t="s">
        <v>50</v>
      </c>
      <c r="D18" s="32" t="s">
        <v>47</v>
      </c>
      <c r="E18" s="33" t="s">
        <v>51</v>
      </c>
      <c r="F18" s="34">
        <v>3000</v>
      </c>
      <c r="G18" s="35" t="s">
        <v>52</v>
      </c>
      <c r="H18" s="36">
        <v>6</v>
      </c>
      <c r="I18" s="37">
        <f>500*5+355</f>
        <v>2855</v>
      </c>
      <c r="J18" s="38">
        <v>4.78</v>
      </c>
      <c r="K18" s="39">
        <f t="shared" si="0"/>
        <v>13646.900000000001</v>
      </c>
    </row>
    <row r="19" spans="2:11" ht="18" customHeight="1" x14ac:dyDescent="0.25">
      <c r="B19" s="30">
        <v>13</v>
      </c>
      <c r="C19" s="31" t="s">
        <v>53</v>
      </c>
      <c r="D19" s="32" t="s">
        <v>47</v>
      </c>
      <c r="E19" s="33" t="s">
        <v>54</v>
      </c>
      <c r="F19" s="34">
        <v>3000</v>
      </c>
      <c r="G19" s="35" t="s">
        <v>19</v>
      </c>
      <c r="H19" s="36">
        <v>6</v>
      </c>
      <c r="I19" s="37">
        <f>500*5+380</f>
        <v>2880</v>
      </c>
      <c r="J19" s="38">
        <v>4.78</v>
      </c>
      <c r="K19" s="39">
        <f t="shared" si="0"/>
        <v>13766.400000000001</v>
      </c>
    </row>
    <row r="20" spans="2:11" ht="18" customHeight="1" x14ac:dyDescent="0.25">
      <c r="B20" s="30">
        <v>14</v>
      </c>
      <c r="C20" s="31" t="s">
        <v>55</v>
      </c>
      <c r="D20" s="32" t="s">
        <v>47</v>
      </c>
      <c r="E20" s="40" t="s">
        <v>56</v>
      </c>
      <c r="F20" s="34">
        <v>3000</v>
      </c>
      <c r="G20" s="35" t="s">
        <v>57</v>
      </c>
      <c r="H20" s="36">
        <v>6</v>
      </c>
      <c r="I20" s="37">
        <f>500*5+375</f>
        <v>2875</v>
      </c>
      <c r="J20" s="38">
        <v>4.78</v>
      </c>
      <c r="K20" s="39">
        <f t="shared" si="0"/>
        <v>13742.5</v>
      </c>
    </row>
    <row r="21" spans="2:11" ht="18" customHeight="1" x14ac:dyDescent="0.25">
      <c r="B21" s="30">
        <v>15</v>
      </c>
      <c r="C21" s="31" t="s">
        <v>58</v>
      </c>
      <c r="D21" s="32" t="s">
        <v>47</v>
      </c>
      <c r="E21" s="33" t="s">
        <v>59</v>
      </c>
      <c r="F21" s="34">
        <v>3000</v>
      </c>
      <c r="G21" s="35" t="s">
        <v>60</v>
      </c>
      <c r="H21" s="36">
        <v>6</v>
      </c>
      <c r="I21" s="37">
        <f>500*5+385</f>
        <v>2885</v>
      </c>
      <c r="J21" s="38">
        <v>4.78</v>
      </c>
      <c r="K21" s="39">
        <f t="shared" si="0"/>
        <v>13790.300000000001</v>
      </c>
    </row>
    <row r="22" spans="2:11" ht="18" customHeight="1" x14ac:dyDescent="0.25">
      <c r="B22" s="30">
        <v>16</v>
      </c>
      <c r="C22" s="31" t="s">
        <v>61</v>
      </c>
      <c r="D22" s="32" t="s">
        <v>47</v>
      </c>
      <c r="E22" s="40" t="s">
        <v>62</v>
      </c>
      <c r="F22" s="34">
        <v>3000</v>
      </c>
      <c r="G22" s="35" t="s">
        <v>63</v>
      </c>
      <c r="H22" s="36">
        <v>6</v>
      </c>
      <c r="I22" s="37">
        <f>500*5+365</f>
        <v>2865</v>
      </c>
      <c r="J22" s="38">
        <v>4.78</v>
      </c>
      <c r="K22" s="39">
        <f t="shared" si="0"/>
        <v>13694.7</v>
      </c>
    </row>
    <row r="23" spans="2:11" ht="18" customHeight="1" x14ac:dyDescent="0.25">
      <c r="B23" s="30">
        <v>17</v>
      </c>
      <c r="C23" s="31" t="s">
        <v>64</v>
      </c>
      <c r="D23" s="32" t="s">
        <v>47</v>
      </c>
      <c r="E23" s="33" t="s">
        <v>39</v>
      </c>
      <c r="F23" s="34">
        <v>3000</v>
      </c>
      <c r="G23" s="35" t="s">
        <v>57</v>
      </c>
      <c r="H23" s="36">
        <v>6</v>
      </c>
      <c r="I23" s="37">
        <f>500*5+375</f>
        <v>2875</v>
      </c>
      <c r="J23" s="38">
        <v>4.78</v>
      </c>
      <c r="K23" s="39">
        <f t="shared" si="0"/>
        <v>13742.5</v>
      </c>
    </row>
    <row r="24" spans="2:11" ht="18" customHeight="1" x14ac:dyDescent="0.25">
      <c r="B24" s="30">
        <v>18</v>
      </c>
      <c r="C24" s="31" t="s">
        <v>65</v>
      </c>
      <c r="D24" s="41" t="s">
        <v>28</v>
      </c>
      <c r="E24" s="33" t="s">
        <v>32</v>
      </c>
      <c r="F24" s="34">
        <v>3000</v>
      </c>
      <c r="G24" s="35" t="s">
        <v>33</v>
      </c>
      <c r="H24" s="36">
        <v>6</v>
      </c>
      <c r="I24" s="37">
        <f>500*5+540</f>
        <v>3040</v>
      </c>
      <c r="J24" s="38">
        <v>4.7300000000000004</v>
      </c>
      <c r="K24" s="39">
        <f t="shared" si="0"/>
        <v>14379.2</v>
      </c>
    </row>
    <row r="25" spans="2:11" ht="18" customHeight="1" x14ac:dyDescent="0.25">
      <c r="B25" s="30">
        <v>19</v>
      </c>
      <c r="C25" s="42" t="s">
        <v>66</v>
      </c>
      <c r="D25" s="41" t="s">
        <v>67</v>
      </c>
      <c r="E25" s="43" t="s">
        <v>29</v>
      </c>
      <c r="F25" s="34">
        <v>3800</v>
      </c>
      <c r="G25" s="35" t="s">
        <v>68</v>
      </c>
      <c r="H25" s="36">
        <v>10</v>
      </c>
      <c r="I25" s="37">
        <f>400*9+195</f>
        <v>3795</v>
      </c>
      <c r="J25" s="38">
        <v>4.8099999999999996</v>
      </c>
      <c r="K25" s="39">
        <f t="shared" si="0"/>
        <v>18253.949999999997</v>
      </c>
    </row>
    <row r="26" spans="2:11" ht="18" customHeight="1" x14ac:dyDescent="0.25">
      <c r="B26" s="30">
        <v>20</v>
      </c>
      <c r="C26" s="31" t="s">
        <v>69</v>
      </c>
      <c r="D26" s="41" t="s">
        <v>67</v>
      </c>
      <c r="E26" s="33" t="s">
        <v>70</v>
      </c>
      <c r="F26" s="34">
        <v>4005</v>
      </c>
      <c r="G26" s="35" t="s">
        <v>71</v>
      </c>
      <c r="H26" s="36">
        <v>10</v>
      </c>
      <c r="I26" s="37">
        <f>400*9+275</f>
        <v>3875</v>
      </c>
      <c r="J26" s="38">
        <v>4.8099999999999996</v>
      </c>
      <c r="K26" s="39">
        <f t="shared" si="0"/>
        <v>18638.75</v>
      </c>
    </row>
    <row r="27" spans="2:11" ht="18" customHeight="1" x14ac:dyDescent="0.25">
      <c r="B27" s="30">
        <v>21</v>
      </c>
      <c r="C27" s="31" t="s">
        <v>72</v>
      </c>
      <c r="D27" s="41" t="s">
        <v>42</v>
      </c>
      <c r="E27" s="40" t="s">
        <v>36</v>
      </c>
      <c r="F27" s="34">
        <v>3000</v>
      </c>
      <c r="G27" s="35" t="s">
        <v>73</v>
      </c>
      <c r="H27" s="36">
        <v>6</v>
      </c>
      <c r="I27" s="37">
        <f>500*5+330</f>
        <v>2830</v>
      </c>
      <c r="J27" s="38">
        <v>4.6500000000000004</v>
      </c>
      <c r="K27" s="39">
        <f t="shared" si="0"/>
        <v>13159.500000000002</v>
      </c>
    </row>
    <row r="28" spans="2:11" ht="18" customHeight="1" x14ac:dyDescent="0.25">
      <c r="B28" s="30">
        <v>22</v>
      </c>
      <c r="C28" s="31" t="s">
        <v>74</v>
      </c>
      <c r="D28" s="41" t="s">
        <v>67</v>
      </c>
      <c r="E28" s="33" t="s">
        <v>75</v>
      </c>
      <c r="F28" s="34">
        <v>3000</v>
      </c>
      <c r="G28" s="35" t="s">
        <v>76</v>
      </c>
      <c r="H28" s="36">
        <v>8</v>
      </c>
      <c r="I28" s="37">
        <f>400*7+200</f>
        <v>3000</v>
      </c>
      <c r="J28" s="38">
        <v>4.8099999999999996</v>
      </c>
      <c r="K28" s="39">
        <f t="shared" si="0"/>
        <v>14429.999999999998</v>
      </c>
    </row>
    <row r="29" spans="2:11" ht="18" customHeight="1" x14ac:dyDescent="0.25">
      <c r="B29" s="30">
        <v>23</v>
      </c>
      <c r="C29" s="31" t="s">
        <v>77</v>
      </c>
      <c r="D29" s="32" t="s">
        <v>14</v>
      </c>
      <c r="E29" s="33" t="s">
        <v>36</v>
      </c>
      <c r="F29" s="34">
        <v>4000</v>
      </c>
      <c r="G29" s="35" t="s">
        <v>78</v>
      </c>
      <c r="H29" s="36">
        <v>8</v>
      </c>
      <c r="I29" s="37">
        <f>500*6+530*2</f>
        <v>4060</v>
      </c>
      <c r="J29" s="38">
        <v>4.7</v>
      </c>
      <c r="K29" s="39">
        <f t="shared" si="0"/>
        <v>19082</v>
      </c>
    </row>
    <row r="30" spans="2:11" ht="18" customHeight="1" x14ac:dyDescent="0.25">
      <c r="B30" s="30">
        <v>24</v>
      </c>
      <c r="C30" s="31" t="s">
        <v>79</v>
      </c>
      <c r="D30" s="32" t="s">
        <v>14</v>
      </c>
      <c r="E30" s="33" t="s">
        <v>80</v>
      </c>
      <c r="F30" s="34">
        <v>4000</v>
      </c>
      <c r="G30" s="35" t="s">
        <v>81</v>
      </c>
      <c r="H30" s="36">
        <v>8</v>
      </c>
      <c r="I30" s="37">
        <f>500*7+615</f>
        <v>4115</v>
      </c>
      <c r="J30" s="38">
        <v>4.7</v>
      </c>
      <c r="K30" s="39">
        <f t="shared" si="0"/>
        <v>19340.5</v>
      </c>
    </row>
    <row r="31" spans="2:11" ht="34" x14ac:dyDescent="0.25">
      <c r="B31" s="30">
        <v>25</v>
      </c>
      <c r="C31" s="31" t="s">
        <v>82</v>
      </c>
      <c r="D31" s="32" t="s">
        <v>28</v>
      </c>
      <c r="E31" s="40" t="s">
        <v>15</v>
      </c>
      <c r="F31" s="34">
        <v>10000</v>
      </c>
      <c r="G31" s="35" t="s">
        <v>83</v>
      </c>
      <c r="H31" s="36">
        <v>20</v>
      </c>
      <c r="I31" s="37">
        <f>500*17+615+555+385</f>
        <v>10055</v>
      </c>
      <c r="J31" s="38">
        <v>4.51</v>
      </c>
      <c r="K31" s="39">
        <f t="shared" si="0"/>
        <v>45348.049999999996</v>
      </c>
    </row>
    <row r="32" spans="2:11" ht="68" x14ac:dyDescent="0.25">
      <c r="B32" s="30">
        <v>26</v>
      </c>
      <c r="C32" s="31" t="s">
        <v>84</v>
      </c>
      <c r="D32" s="32" t="s">
        <v>28</v>
      </c>
      <c r="E32" s="33" t="s">
        <v>85</v>
      </c>
      <c r="F32" s="34">
        <v>40000</v>
      </c>
      <c r="G32" s="35" t="s">
        <v>86</v>
      </c>
      <c r="H32" s="36">
        <v>80</v>
      </c>
      <c r="I32" s="37">
        <f>500*71+655+565+560+540+530+515+505+490+420</f>
        <v>40280</v>
      </c>
      <c r="J32" s="38">
        <v>4.51</v>
      </c>
      <c r="K32" s="39">
        <f t="shared" si="0"/>
        <v>181662.8</v>
      </c>
    </row>
    <row r="33" spans="2:11" ht="18" customHeight="1" x14ac:dyDescent="0.25">
      <c r="B33" s="30">
        <v>27</v>
      </c>
      <c r="C33" s="31" t="s">
        <v>87</v>
      </c>
      <c r="D33" s="32" t="s">
        <v>28</v>
      </c>
      <c r="E33" s="40" t="s">
        <v>88</v>
      </c>
      <c r="F33" s="34">
        <v>12000</v>
      </c>
      <c r="G33" s="35" t="s">
        <v>89</v>
      </c>
      <c r="H33" s="36">
        <v>24</v>
      </c>
      <c r="I33" s="37">
        <f>500*21+510*2+535</f>
        <v>12055</v>
      </c>
      <c r="J33" s="38">
        <v>4.51</v>
      </c>
      <c r="K33" s="39">
        <f t="shared" si="0"/>
        <v>54368.049999999996</v>
      </c>
    </row>
    <row r="34" spans="2:11" ht="18" customHeight="1" x14ac:dyDescent="0.25">
      <c r="B34" s="30">
        <v>28</v>
      </c>
      <c r="C34" s="31" t="s">
        <v>90</v>
      </c>
      <c r="D34" s="32" t="s">
        <v>28</v>
      </c>
      <c r="E34" s="33" t="s">
        <v>39</v>
      </c>
      <c r="F34" s="34">
        <v>6000</v>
      </c>
      <c r="G34" s="35" t="s">
        <v>91</v>
      </c>
      <c r="H34" s="36">
        <v>12</v>
      </c>
      <c r="I34" s="37">
        <f>500*10+475+370</f>
        <v>5845</v>
      </c>
      <c r="J34" s="38">
        <v>4.51</v>
      </c>
      <c r="K34" s="39">
        <f t="shared" si="0"/>
        <v>26360.949999999997</v>
      </c>
    </row>
    <row r="35" spans="2:11" ht="18" customHeight="1" x14ac:dyDescent="0.25">
      <c r="B35" s="30">
        <v>29</v>
      </c>
      <c r="C35" s="31" t="s">
        <v>92</v>
      </c>
      <c r="D35" s="41" t="s">
        <v>93</v>
      </c>
      <c r="E35" s="33" t="s">
        <v>94</v>
      </c>
      <c r="F35" s="34">
        <v>10000</v>
      </c>
      <c r="G35" s="35" t="s">
        <v>95</v>
      </c>
      <c r="H35" s="36">
        <v>25</v>
      </c>
      <c r="I35" s="37">
        <f>400*22+420*2+260</f>
        <v>9900</v>
      </c>
      <c r="J35" s="38">
        <v>4.75</v>
      </c>
      <c r="K35" s="39">
        <f t="shared" si="0"/>
        <v>47025</v>
      </c>
    </row>
    <row r="36" spans="2:11" ht="18" customHeight="1" x14ac:dyDescent="0.25">
      <c r="B36" s="30">
        <v>30</v>
      </c>
      <c r="C36" s="31" t="s">
        <v>96</v>
      </c>
      <c r="D36" s="41" t="s">
        <v>93</v>
      </c>
      <c r="E36" s="40" t="s">
        <v>97</v>
      </c>
      <c r="F36" s="34">
        <v>10000</v>
      </c>
      <c r="G36" s="35" t="s">
        <v>98</v>
      </c>
      <c r="H36" s="36">
        <v>25</v>
      </c>
      <c r="I36" s="37">
        <f>400*23+435+450</f>
        <v>10085</v>
      </c>
      <c r="J36" s="38">
        <v>4.75</v>
      </c>
      <c r="K36" s="39">
        <f t="shared" si="0"/>
        <v>47903.75</v>
      </c>
    </row>
    <row r="37" spans="2:11" ht="18" customHeight="1" x14ac:dyDescent="0.25">
      <c r="B37" s="30">
        <v>31</v>
      </c>
      <c r="C37" s="31" t="s">
        <v>99</v>
      </c>
      <c r="D37" s="41" t="s">
        <v>93</v>
      </c>
      <c r="E37" s="33" t="s">
        <v>100</v>
      </c>
      <c r="F37" s="34">
        <v>3800</v>
      </c>
      <c r="G37" s="35" t="s">
        <v>101</v>
      </c>
      <c r="H37" s="36">
        <v>10</v>
      </c>
      <c r="I37" s="37">
        <f>400*9+190</f>
        <v>3790</v>
      </c>
      <c r="J37" s="38">
        <v>4.75</v>
      </c>
      <c r="K37" s="39">
        <f t="shared" si="0"/>
        <v>18002.5</v>
      </c>
    </row>
    <row r="38" spans="2:11" ht="18" customHeight="1" x14ac:dyDescent="0.25">
      <c r="B38" s="30">
        <v>32</v>
      </c>
      <c r="C38" s="31" t="s">
        <v>102</v>
      </c>
      <c r="D38" s="41" t="s">
        <v>93</v>
      </c>
      <c r="E38" s="33" t="s">
        <v>85</v>
      </c>
      <c r="F38" s="34">
        <v>3950</v>
      </c>
      <c r="G38" s="35" t="s">
        <v>101</v>
      </c>
      <c r="H38" s="36">
        <v>10</v>
      </c>
      <c r="I38" s="37">
        <f>400*9+190</f>
        <v>3790</v>
      </c>
      <c r="J38" s="38">
        <v>4.75</v>
      </c>
      <c r="K38" s="39">
        <f t="shared" si="0"/>
        <v>18002.5</v>
      </c>
    </row>
    <row r="39" spans="2:11" ht="18" customHeight="1" x14ac:dyDescent="0.25">
      <c r="B39" s="30">
        <v>33</v>
      </c>
      <c r="C39" s="31" t="s">
        <v>103</v>
      </c>
      <c r="D39" s="41" t="s">
        <v>93</v>
      </c>
      <c r="E39" s="33" t="s">
        <v>104</v>
      </c>
      <c r="F39" s="34">
        <v>3030</v>
      </c>
      <c r="G39" s="35" t="s">
        <v>105</v>
      </c>
      <c r="H39" s="36">
        <v>8</v>
      </c>
      <c r="I39" s="37">
        <f>400*7+220</f>
        <v>3020</v>
      </c>
      <c r="J39" s="38">
        <v>4.75</v>
      </c>
      <c r="K39" s="39">
        <f t="shared" si="0"/>
        <v>14345</v>
      </c>
    </row>
    <row r="40" spans="2:11" ht="18" customHeight="1" x14ac:dyDescent="0.25">
      <c r="B40" s="30">
        <v>34</v>
      </c>
      <c r="C40" s="31" t="s">
        <v>106</v>
      </c>
      <c r="D40" s="41" t="s">
        <v>93</v>
      </c>
      <c r="E40" s="40" t="s">
        <v>21</v>
      </c>
      <c r="F40" s="34">
        <v>3500</v>
      </c>
      <c r="G40" s="35" t="s">
        <v>107</v>
      </c>
      <c r="H40" s="36">
        <v>9</v>
      </c>
      <c r="I40" s="37">
        <f>400*8+300</f>
        <v>3500</v>
      </c>
      <c r="J40" s="38">
        <v>4.75</v>
      </c>
      <c r="K40" s="39">
        <f t="shared" si="0"/>
        <v>16625</v>
      </c>
    </row>
    <row r="41" spans="2:11" ht="18" customHeight="1" x14ac:dyDescent="0.25">
      <c r="B41" s="30">
        <v>35</v>
      </c>
      <c r="C41" s="31" t="s">
        <v>108</v>
      </c>
      <c r="D41" s="41" t="s">
        <v>93</v>
      </c>
      <c r="E41" s="33" t="s">
        <v>109</v>
      </c>
      <c r="F41" s="34">
        <v>3920</v>
      </c>
      <c r="G41" s="35" t="s">
        <v>110</v>
      </c>
      <c r="H41" s="36">
        <v>10</v>
      </c>
      <c r="I41" s="37">
        <f>400*9+225</f>
        <v>3825</v>
      </c>
      <c r="J41" s="38">
        <v>4.75</v>
      </c>
      <c r="K41" s="39">
        <f t="shared" si="0"/>
        <v>18168.75</v>
      </c>
    </row>
    <row r="42" spans="2:11" ht="18" customHeight="1" x14ac:dyDescent="0.25">
      <c r="B42" s="30">
        <v>36</v>
      </c>
      <c r="C42" s="42" t="s">
        <v>111</v>
      </c>
      <c r="D42" s="41" t="s">
        <v>93</v>
      </c>
      <c r="E42" s="43" t="s">
        <v>112</v>
      </c>
      <c r="F42" s="34">
        <v>3500</v>
      </c>
      <c r="G42" s="35" t="s">
        <v>113</v>
      </c>
      <c r="H42" s="36">
        <v>9</v>
      </c>
      <c r="I42" s="37">
        <f>400*8+335</f>
        <v>3535</v>
      </c>
      <c r="J42" s="38">
        <v>4.75</v>
      </c>
      <c r="K42" s="39">
        <f t="shared" si="0"/>
        <v>16791.25</v>
      </c>
    </row>
    <row r="43" spans="2:11" ht="18" customHeight="1" x14ac:dyDescent="0.25">
      <c r="B43" s="30">
        <v>37</v>
      </c>
      <c r="C43" s="31" t="s">
        <v>114</v>
      </c>
      <c r="D43" s="41" t="s">
        <v>93</v>
      </c>
      <c r="E43" s="33" t="s">
        <v>29</v>
      </c>
      <c r="F43" s="34">
        <v>4400</v>
      </c>
      <c r="G43" s="35" t="s">
        <v>115</v>
      </c>
      <c r="H43" s="36">
        <v>11</v>
      </c>
      <c r="I43" s="37">
        <f>400*10+230</f>
        <v>4230</v>
      </c>
      <c r="J43" s="38">
        <v>4.75</v>
      </c>
      <c r="K43" s="39">
        <f t="shared" si="0"/>
        <v>20092.5</v>
      </c>
    </row>
    <row r="44" spans="2:11" ht="18" customHeight="1" x14ac:dyDescent="0.25">
      <c r="B44" s="30">
        <v>38</v>
      </c>
      <c r="C44" s="31" t="s">
        <v>116</v>
      </c>
      <c r="D44" s="41" t="s">
        <v>93</v>
      </c>
      <c r="E44" s="40" t="s">
        <v>25</v>
      </c>
      <c r="F44" s="34">
        <v>6000</v>
      </c>
      <c r="G44" s="35" t="s">
        <v>117</v>
      </c>
      <c r="H44" s="36">
        <v>15</v>
      </c>
      <c r="I44" s="37">
        <f>400*14+415</f>
        <v>6015</v>
      </c>
      <c r="J44" s="38">
        <v>4.75</v>
      </c>
      <c r="K44" s="39">
        <f t="shared" si="0"/>
        <v>28571.25</v>
      </c>
    </row>
    <row r="45" spans="2:11" ht="18" customHeight="1" x14ac:dyDescent="0.25">
      <c r="B45" s="30">
        <v>39</v>
      </c>
      <c r="C45" s="31" t="s">
        <v>118</v>
      </c>
      <c r="D45" s="41" t="s">
        <v>93</v>
      </c>
      <c r="E45" s="33" t="s">
        <v>119</v>
      </c>
      <c r="F45" s="34">
        <v>6000</v>
      </c>
      <c r="G45" s="35" t="s">
        <v>120</v>
      </c>
      <c r="H45" s="36">
        <v>15</v>
      </c>
      <c r="I45" s="37">
        <f>400*14+285</f>
        <v>5885</v>
      </c>
      <c r="J45" s="38">
        <v>4.75</v>
      </c>
      <c r="K45" s="39">
        <f t="shared" si="0"/>
        <v>27953.75</v>
      </c>
    </row>
    <row r="46" spans="2:11" ht="18" customHeight="1" x14ac:dyDescent="0.25">
      <c r="B46" s="30">
        <v>40</v>
      </c>
      <c r="C46" s="31" t="s">
        <v>121</v>
      </c>
      <c r="D46" s="32" t="s">
        <v>42</v>
      </c>
      <c r="E46" s="33" t="s">
        <v>18</v>
      </c>
      <c r="F46" s="34">
        <v>5000</v>
      </c>
      <c r="G46" s="35" t="s">
        <v>122</v>
      </c>
      <c r="H46" s="36">
        <v>10</v>
      </c>
      <c r="I46" s="37">
        <f>500*9+470</f>
        <v>4970</v>
      </c>
      <c r="J46" s="38">
        <v>4.6500000000000004</v>
      </c>
      <c r="K46" s="39">
        <f t="shared" si="0"/>
        <v>23110.5</v>
      </c>
    </row>
    <row r="47" spans="2:11" ht="18" customHeight="1" x14ac:dyDescent="0.25">
      <c r="B47" s="30">
        <v>41</v>
      </c>
      <c r="C47" s="31" t="s">
        <v>123</v>
      </c>
      <c r="D47" s="32" t="s">
        <v>28</v>
      </c>
      <c r="E47" s="33" t="s">
        <v>18</v>
      </c>
      <c r="F47" s="34">
        <v>6000</v>
      </c>
      <c r="G47" s="35" t="s">
        <v>124</v>
      </c>
      <c r="H47" s="36">
        <v>12</v>
      </c>
      <c r="I47" s="37">
        <f>500*11+505</f>
        <v>6005</v>
      </c>
      <c r="J47" s="38">
        <v>4.51</v>
      </c>
      <c r="K47" s="39">
        <f t="shared" si="0"/>
        <v>27082.55</v>
      </c>
    </row>
    <row r="48" spans="2:11" ht="18" customHeight="1" x14ac:dyDescent="0.25">
      <c r="B48" s="30">
        <v>42</v>
      </c>
      <c r="C48" s="31" t="s">
        <v>125</v>
      </c>
      <c r="D48" s="32" t="s">
        <v>28</v>
      </c>
      <c r="E48" s="40" t="s">
        <v>97</v>
      </c>
      <c r="F48" s="34">
        <v>3000</v>
      </c>
      <c r="G48" s="35" t="s">
        <v>126</v>
      </c>
      <c r="H48" s="36">
        <v>6</v>
      </c>
      <c r="I48" s="37">
        <f>500*5+495</f>
        <v>2995</v>
      </c>
      <c r="J48" s="38">
        <v>4.51</v>
      </c>
      <c r="K48" s="39">
        <f t="shared" si="0"/>
        <v>13507.449999999999</v>
      </c>
    </row>
    <row r="49" spans="2:11" ht="18" customHeight="1" x14ac:dyDescent="0.25">
      <c r="B49" s="30">
        <v>43</v>
      </c>
      <c r="C49" s="31" t="s">
        <v>127</v>
      </c>
      <c r="D49" s="32" t="s">
        <v>28</v>
      </c>
      <c r="E49" s="33" t="s">
        <v>70</v>
      </c>
      <c r="F49" s="34">
        <v>3500</v>
      </c>
      <c r="G49" s="35" t="s">
        <v>128</v>
      </c>
      <c r="H49" s="36">
        <v>7</v>
      </c>
      <c r="I49" s="37">
        <f>500*7</f>
        <v>3500</v>
      </c>
      <c r="J49" s="38">
        <v>4.51</v>
      </c>
      <c r="K49" s="39">
        <f t="shared" si="0"/>
        <v>15785</v>
      </c>
    </row>
    <row r="50" spans="2:11" ht="18" customHeight="1" x14ac:dyDescent="0.25">
      <c r="B50" s="30">
        <v>44</v>
      </c>
      <c r="C50" s="31" t="s">
        <v>129</v>
      </c>
      <c r="D50" s="41" t="s">
        <v>130</v>
      </c>
      <c r="E50" s="40" t="s">
        <v>131</v>
      </c>
      <c r="F50" s="34">
        <v>3000</v>
      </c>
      <c r="G50" s="35" t="s">
        <v>132</v>
      </c>
      <c r="H50" s="36">
        <v>7</v>
      </c>
      <c r="I50" s="37">
        <f>400*6+455</f>
        <v>2855</v>
      </c>
      <c r="J50" s="38">
        <v>6.82</v>
      </c>
      <c r="K50" s="39">
        <f t="shared" si="0"/>
        <v>19471.100000000002</v>
      </c>
    </row>
    <row r="51" spans="2:11" ht="18" customHeight="1" x14ac:dyDescent="0.25">
      <c r="B51" s="30">
        <v>45</v>
      </c>
      <c r="C51" s="31" t="s">
        <v>133</v>
      </c>
      <c r="D51" s="41" t="s">
        <v>28</v>
      </c>
      <c r="E51" s="33" t="s">
        <v>21</v>
      </c>
      <c r="F51" s="34">
        <v>4000</v>
      </c>
      <c r="G51" s="35" t="s">
        <v>134</v>
      </c>
      <c r="H51" s="36">
        <v>8</v>
      </c>
      <c r="I51" s="37">
        <f>500*7+530</f>
        <v>4030</v>
      </c>
      <c r="J51" s="38">
        <v>4.7300000000000004</v>
      </c>
      <c r="K51" s="39">
        <f t="shared" si="0"/>
        <v>19061.900000000001</v>
      </c>
    </row>
    <row r="52" spans="2:11" ht="18" customHeight="1" x14ac:dyDescent="0.25">
      <c r="B52" s="30">
        <v>46</v>
      </c>
      <c r="C52" s="31" t="s">
        <v>135</v>
      </c>
      <c r="D52" s="41" t="s">
        <v>28</v>
      </c>
      <c r="E52" s="33" t="s">
        <v>100</v>
      </c>
      <c r="F52" s="34">
        <v>3000</v>
      </c>
      <c r="G52" s="35" t="s">
        <v>33</v>
      </c>
      <c r="H52" s="36">
        <v>6</v>
      </c>
      <c r="I52" s="37">
        <f>500*5+540</f>
        <v>3040</v>
      </c>
      <c r="J52" s="38">
        <v>4.7300000000000004</v>
      </c>
      <c r="K52" s="39">
        <f t="shared" si="0"/>
        <v>14379.2</v>
      </c>
    </row>
    <row r="53" spans="2:11" ht="18" customHeight="1" x14ac:dyDescent="0.25">
      <c r="B53" s="30">
        <v>47</v>
      </c>
      <c r="C53" s="42" t="s">
        <v>136</v>
      </c>
      <c r="D53" s="41" t="s">
        <v>28</v>
      </c>
      <c r="E53" s="43" t="s">
        <v>137</v>
      </c>
      <c r="F53" s="34">
        <v>3000</v>
      </c>
      <c r="G53" s="35" t="s">
        <v>52</v>
      </c>
      <c r="H53" s="36">
        <v>6</v>
      </c>
      <c r="I53" s="37">
        <f>500*5+355</f>
        <v>2855</v>
      </c>
      <c r="J53" s="38">
        <v>4.7300000000000004</v>
      </c>
      <c r="K53" s="39">
        <f t="shared" si="0"/>
        <v>13504.150000000001</v>
      </c>
    </row>
    <row r="54" spans="2:11" ht="18" customHeight="1" x14ac:dyDescent="0.25">
      <c r="B54" s="30">
        <v>48</v>
      </c>
      <c r="C54" s="31" t="s">
        <v>138</v>
      </c>
      <c r="D54" s="41" t="s">
        <v>42</v>
      </c>
      <c r="E54" s="33" t="s">
        <v>139</v>
      </c>
      <c r="F54" s="34">
        <v>3000</v>
      </c>
      <c r="G54" s="35" t="s">
        <v>140</v>
      </c>
      <c r="H54" s="36">
        <v>6</v>
      </c>
      <c r="I54" s="37">
        <f>500*5+475</f>
        <v>2975</v>
      </c>
      <c r="J54" s="38">
        <v>4.6500000000000004</v>
      </c>
      <c r="K54" s="39">
        <f t="shared" si="0"/>
        <v>13833.750000000002</v>
      </c>
    </row>
    <row r="55" spans="2:11" ht="18" customHeight="1" thickBot="1" x14ac:dyDescent="0.3">
      <c r="B55" s="30">
        <v>49</v>
      </c>
      <c r="C55" s="31" t="s">
        <v>141</v>
      </c>
      <c r="D55" s="41" t="s">
        <v>142</v>
      </c>
      <c r="E55" s="40" t="s">
        <v>143</v>
      </c>
      <c r="F55" s="34">
        <v>3000</v>
      </c>
      <c r="G55" s="35" t="s">
        <v>144</v>
      </c>
      <c r="H55" s="36">
        <v>8</v>
      </c>
      <c r="I55" s="37">
        <f>400*7+115</f>
        <v>2915</v>
      </c>
      <c r="J55" s="38">
        <v>11.05</v>
      </c>
      <c r="K55" s="39">
        <f t="shared" si="0"/>
        <v>32210.750000000004</v>
      </c>
    </row>
    <row r="56" spans="2:11" ht="18" customHeight="1" thickBot="1" x14ac:dyDescent="0.3">
      <c r="B56" s="44"/>
      <c r="C56" s="45"/>
      <c r="D56" s="46"/>
      <c r="E56" s="47"/>
      <c r="F56" s="48">
        <f>SUM(F7:F55)</f>
        <v>240105</v>
      </c>
      <c r="G56" s="49"/>
      <c r="H56" s="48">
        <f>SUM(H7:H55)</f>
        <v>526</v>
      </c>
      <c r="I56" s="48">
        <f>SUM(I7:I55)</f>
        <v>238290</v>
      </c>
      <c r="J56" s="48"/>
      <c r="K56" s="50">
        <f>SUM(K7:K55)</f>
        <v>1172149.45</v>
      </c>
    </row>
    <row r="57" spans="2:11" ht="18" customHeight="1" thickBot="1" x14ac:dyDescent="0.3">
      <c r="B57" s="51"/>
      <c r="C57" s="52"/>
      <c r="D57" s="53"/>
      <c r="E57" s="52"/>
      <c r="F57" s="54"/>
      <c r="G57" s="55"/>
      <c r="H57" s="56"/>
      <c r="I57" s="55"/>
      <c r="J57" s="57">
        <v>0.18</v>
      </c>
      <c r="K57" s="58">
        <f>+K56*0.18</f>
        <v>210986.90099999998</v>
      </c>
    </row>
    <row r="58" spans="2:11" ht="18" customHeight="1" thickBot="1" x14ac:dyDescent="0.3">
      <c r="J58" s="51"/>
      <c r="K58" s="59">
        <f>+K56+K57</f>
        <v>1383136.351</v>
      </c>
    </row>
    <row r="59" spans="2:11" x14ac:dyDescent="0.2">
      <c r="F59" s="60"/>
      <c r="H59" s="60"/>
      <c r="I59" s="60"/>
    </row>
    <row r="60" spans="2:11" x14ac:dyDescent="0.2">
      <c r="F60" s="60"/>
      <c r="H60" s="60"/>
      <c r="I60" s="60"/>
    </row>
    <row r="62" spans="2:11" x14ac:dyDescent="0.2">
      <c r="F62" s="60"/>
    </row>
  </sheetData>
  <conditionalFormatting sqref="C56:C57">
    <cfRule type="duplicateValues" dxfId="0" priority="1"/>
  </conditionalFormatting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61E2-A58B-A740-82A2-E0981BFB256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 Apr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2026-07-09T08:44:00Z</dcterms:created>
  <dcterms:modified xsi:type="dcterms:W3CDTF">2026-07-09T08:44:21Z</dcterms:modified>
</cp:coreProperties>
</file>